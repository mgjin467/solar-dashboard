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계산서" sheetId="1" r:id="rId5"/>
    <sheet state="visible" name="은행" sheetId="2" r:id="rId6"/>
    <sheet state="visible" name="비교" sheetId="3" r:id="rId7"/>
  </sheets>
  <definedNames>
    <definedName hidden="1" localSheetId="0" name="_xlnm._FilterDatabase">'계산서'!$A$1:$G$58</definedName>
  </definedNames>
  <calcPr/>
  <pivotCaches>
    <pivotCache cacheId="0" r:id="rId8"/>
  </pivotCaches>
</workbook>
</file>

<file path=xl/sharedStrings.xml><?xml version="1.0" encoding="utf-8"?>
<sst xmlns="http://schemas.openxmlformats.org/spreadsheetml/2006/main" count="570" uniqueCount="221">
  <si>
    <t>거래일자</t>
  </si>
  <si>
    <t>작성일자</t>
  </si>
  <si>
    <t>거래시간</t>
  </si>
  <si>
    <t>적요</t>
  </si>
  <si>
    <t>추가메모</t>
  </si>
  <si>
    <t>의뢰인/수취인</t>
  </si>
  <si>
    <t>통화</t>
  </si>
  <si>
    <t>입금</t>
  </si>
  <si>
    <t>출금</t>
  </si>
  <si>
    <t>출금_차감</t>
  </si>
  <si>
    <t>거래후잔액</t>
  </si>
  <si>
    <t>구분</t>
  </si>
  <si>
    <t>거래점</t>
  </si>
  <si>
    <t>합계금액</t>
  </si>
  <si>
    <t>공급가액</t>
  </si>
  <si>
    <t>거래특이사항</t>
  </si>
  <si>
    <t>세액</t>
  </si>
  <si>
    <t>비고</t>
  </si>
  <si>
    <t>품목일자</t>
  </si>
  <si>
    <t>품목명</t>
  </si>
  <si>
    <t>태양광케이티</t>
  </si>
  <si>
    <t>(주)케이티</t>
  </si>
  <si>
    <t>KRW</t>
  </si>
  <si>
    <t>국민 63129013644692 (주)케이티CV-P481678-3500033693/ 납기일자:2022.03.31. 납기일자 경과시 2.00%의 가산금이 부과됩니다.</t>
  </si>
  <si>
    <t>2022-02-25</t>
  </si>
  <si>
    <t>(1/61회차)21년 지역 에너지 신산업_진천피씨 태양광 구축</t>
  </si>
  <si>
    <t>타행송금</t>
  </si>
  <si>
    <t>국민 63129013644692 (주)케이티CV-P481678-3500033694/ 납기일자:2022.04.30. 납기일자 경과시 2.00%의 가산금이 부과됩니다.</t>
  </si>
  <si>
    <t>음성금융센터</t>
  </si>
  <si>
    <t>(2/61회차)21년 지역 에너지 신산업_진천피씨 태양광 구축_정부보조금</t>
  </si>
  <si>
    <t>국민 63129013644692 (주)케이티CV-P481678-3500033825/ 납기일자:2022.04.30. 납기일자 경과시 2.00%의 가산금이 부과됩니다.</t>
  </si>
  <si>
    <t>2022-03-24</t>
  </si>
  <si>
    <t>(3/61회차) 21년 지역 에너지 신산업_진천피씨 태양광 구축</t>
  </si>
  <si>
    <t>국민 63129013644692 (주)케이티CV-P481678-3500034024/ 납기일자:2022.05.31. 납기일자 경과시 2.00%의 가산금이 부과됩니다.</t>
  </si>
  <si>
    <t>2022-04-24</t>
  </si>
  <si>
    <t>(4/61회차) 21년 지역 에너지 신산업_진천피씨 태양광 구축</t>
  </si>
  <si>
    <t>국민 63129013644692 (주)케이티CV-P481678-3500034197/ 납기일자:2022.06.30. 납기일자 경과시 2.00%의 가산금이 부과됩니다.</t>
  </si>
  <si>
    <t>2022-05-24</t>
  </si>
  <si>
    <t>(5/61회차) 21년 지역 에너지 신산업_진천피씨 태양광 구축</t>
  </si>
  <si>
    <t>국민 63129013644692 (주)케이티CV-P481678-3500034411/ 납기일자:2022.07.31. 납기일자 경과시 2.00%의 가산금이 부과됩니다.</t>
  </si>
  <si>
    <t>2022-06-24</t>
  </si>
  <si>
    <t>(6/61회차) 21년 지역 에너지 신산업_진천피씨 태양광 구축</t>
  </si>
  <si>
    <t>국민 63129013644692 (주)케이티CV-P481678-3500034683/ 납기일자:2022.08.31. 납기일자 경과시 2.00%의 가산금이 부과됩니다.</t>
  </si>
  <si>
    <t>2022-07-24</t>
  </si>
  <si>
    <t>(7/61회차) 21년 지역 에너지 신산업_진천피씨 태양광 구축</t>
  </si>
  <si>
    <t>국민 63129013644692 (주)케이티CV-P481678-3500034880/ 납기일자:2022.09.30. 납기일자 경과시 2.00%의 가산금이 부과됩니다.</t>
  </si>
  <si>
    <t>2022-08-24</t>
  </si>
  <si>
    <t>(8/61회차) 21년 지역 에너지 신산업_진천피씨 태양광 구축</t>
  </si>
  <si>
    <t>국민 63129013644692 (주)케이티CV-P481678-3500035152/ 납기일자:2022.10.31. 납기일자 경과시 2.00%의 가산금이 부과됩니다.</t>
  </si>
  <si>
    <t>2022-09-24</t>
  </si>
  <si>
    <t>(9/61회차) 21년 지역 에너지 신산업_진천피씨 태양광 구축</t>
  </si>
  <si>
    <t>국민 63129013644692 (주)케이티CV-P481678-3500035406/ 납기일자:2022.11.30. 납기일자 경과시 2.00%의 가산금이 부과됩니다.</t>
  </si>
  <si>
    <t>2022-10-24</t>
  </si>
  <si>
    <t>(10/61회차) 21년 지역 에너지 신산업_진천피씨 태양광 구축</t>
  </si>
  <si>
    <t>국민 63129013644692 (주)케이티CV-P481678-3500035645/ 납기일자:2022.12.31. 납기일자 경과시 2.00%의 가산금이 부과됩니다.</t>
  </si>
  <si>
    <t>2022-11-24</t>
  </si>
  <si>
    <t>(11/61회차) 21년 지역 에너지 신산업_진천피씨 태양광 구축</t>
  </si>
  <si>
    <t>국민 63129013644692 (주)케이티CV-P481678-3500035940/ 납기일자:2023.01.31. 납기일자 경과시 2.00%의 가산금이 부과됩니다.</t>
  </si>
  <si>
    <t>2022-12-24</t>
  </si>
  <si>
    <t>(12/61회차) 21년 지역 에너지 신산업_진천피씨 태양광 구축</t>
  </si>
  <si>
    <t>X</t>
  </si>
  <si>
    <t>국민 63129013644692 (주)케이티CV-P481678-3500036232/ 납기일자:2023.02.28. 납기일자 경과시 2.00%의 가산금이 부과됩니다.</t>
  </si>
  <si>
    <t>2023-01-24</t>
  </si>
  <si>
    <t>(13/61회차) 21년 지역 에너지 신산업_진천피씨 태양광 구축</t>
  </si>
  <si>
    <t>국민 63129013644692 (주)케이티CV-P468985-3500036454/ 납기일자:2023.03.31. 납기일자 경과시 2.00%의 가산금이 부과됩니다.</t>
  </si>
  <si>
    <t>2023-02-24</t>
  </si>
  <si>
    <t>(14/61회차) 21년 지역 에너지 신산업_진천피씨 태양광 구축</t>
  </si>
  <si>
    <t>국민 63129013644692 (주)케이티CV-P468985-3500036690/ 납기일자:2023.04.30. 납기일자 경과시 2.00%의 가산금이 부과됩니다.</t>
  </si>
  <si>
    <t>2023-03-24</t>
  </si>
  <si>
    <t>(15/61회차) 21년 지역 에너지 신산업_진천피씨 태양광 구축</t>
  </si>
  <si>
    <t>국민 63129013644692 (주)케이티CV-P468985-3500036938/ 납기일자:2023.05.31. 납기일자 경과시 2.00%의 가산금이 부과됩니다.</t>
  </si>
  <si>
    <t>2023-04-24</t>
  </si>
  <si>
    <t>(16/61회차) 21년 지역 에너지 신산업_진천피씨 태양광 구축</t>
  </si>
  <si>
    <t>국민 63129013644692 (주)케이티CV-P468985-3500037184/ 납기일자:2023.06.30. 납기일자 경과시 2.00%의 가산금이 부과됩니다.</t>
  </si>
  <si>
    <t>2023-05-24</t>
  </si>
  <si>
    <t>(17/61회차) 21년 지역 에너지 신산업_진천피씨 태양광 구축</t>
  </si>
  <si>
    <t>국민 63129013644692 (주)케이티CV-P468985-3500037496/ 납기일자:2023.07.31. 납기일자 경과시 2.00%의 가산금이 부과됩니다.</t>
  </si>
  <si>
    <t>2023-06-24</t>
  </si>
  <si>
    <t>(18/61회차) 21년 지역 에너지 신산업_진천피씨 태양광 구축</t>
  </si>
  <si>
    <t>국민 63129013644692 (주)케이티CV-P468985-3500037755/ 납기일자:2023.08.31. 납기일자 경과시 2.00%의 가산금이 부과됩니다.</t>
  </si>
  <si>
    <t>2023-07-24</t>
  </si>
  <si>
    <t>(19/61회차) 21년 지역 에너지 신산업_진천피씨 태양광 구축</t>
  </si>
  <si>
    <t>국민 63129013644692 (주)케이티CV-P468985-3500037987/ 납기일자:2023.09.30. 납기일자 경과시 2.00%의 가산금이 부과됩니다.</t>
  </si>
  <si>
    <t>2023-08-24</t>
  </si>
  <si>
    <t>(20/61회차) 21년 지역 에너지 신산업_진천피씨 태양광 구축</t>
  </si>
  <si>
    <t>국민 63129013644692 (주)케이티CV-P468985-3500038258/ 납기일자:2023.10.31. 납기일자 경과시 2.00%의 가산금이 부과됩니다.</t>
  </si>
  <si>
    <t>2023-09-24</t>
  </si>
  <si>
    <t>(21/61회차) 21년 지역 에너지 신산업_진천피씨 태양광 구축</t>
  </si>
  <si>
    <t>국민 63129013644692 (주)케이티CV-P468985-3500038521/ 납기일자:2023.11.30. 납기일자 경과시 2.00%의 가산금이 부과됩니다.</t>
  </si>
  <si>
    <t>2023-10-24</t>
  </si>
  <si>
    <t>(22/61회차) 21년 지역 에너지 신산업_진천피씨 태양광 구축</t>
  </si>
  <si>
    <t>국민 63129013644692 (주)케이티CV-P468985-3500038811/ 납기일자:2023.12.31. 납기일자 경과시 2.00%의 가산금이 부과됩니다.</t>
  </si>
  <si>
    <t>2023-11-24</t>
  </si>
  <si>
    <t>(23/61회차) 21년 지역 에너지 신산업_진천피씨 태양광 구축</t>
  </si>
  <si>
    <t>국민 63129013644692 (주)케이티CV-P499926-3500039112/ 납기일자:2024.01.31. 납기일자 경과시 2.00%의 가산금이 부과됩니다.</t>
  </si>
  <si>
    <t>2023-12-24</t>
  </si>
  <si>
    <t>(24/61회차) 21년 지역 에너지 신산업_진천피씨 태양광 구축</t>
  </si>
  <si>
    <t>국민 63129013644692 (주)케이티CV-P499926-3500039414/ 납기일자:2024.02.29. 납기일자 경과시 2.00%의 가산금이 부과됩니다.</t>
  </si>
  <si>
    <t>2024-01-24</t>
  </si>
  <si>
    <t>(25/61회차) 21년 지역 에너지 신산업_진천피씨 태양광 구축</t>
  </si>
  <si>
    <t>국민 63129013644692 (주)케이티CV-P499926-3500039668/ 납기일자:2024.03.31. 납기일자 경과시 2.00%의 가산금이 부과됩니다.</t>
  </si>
  <si>
    <t>2024-02-24</t>
  </si>
  <si>
    <t>(26/61회차) 21년 지역 에너지 신산업_진천피씨 태양광 구축</t>
  </si>
  <si>
    <t>국민 63129013644692 (주)케이티CV-P499926-3500039923/ 납기일자:2024.04.30. 납기일자 경과시 2.00%의 가산금이 부과됩니다.</t>
  </si>
  <si>
    <t>2024-03-24</t>
  </si>
  <si>
    <t>(27/61회차) 21년 지역 에너지 신산업_진천피씨 태양광 구축</t>
  </si>
  <si>
    <t>Hana CBS</t>
  </si>
  <si>
    <t>국민 63129013644692 (주)케이티CV-P499926-3500040214/ 납기일자:2024.05.31. 납기일자 경과시 2.00%의 가산금이 부과됩니다.</t>
  </si>
  <si>
    <t>2024-04-24</t>
  </si>
  <si>
    <t>(28/61회차) 21년 지역 에너지 신산업_진천피씨 태양광 구축</t>
  </si>
  <si>
    <t>국민 63129013644692 (주)케이티CV-P499926-3500040457/ 납기일자:2024.06.30. 납기일자 경과시 2.00%의 가산금이 부과됩니다.</t>
  </si>
  <si>
    <t>2024-05-24</t>
  </si>
  <si>
    <t>(29/61회차) 21년 지역 에너지 신산업_진천피씨 태양광 구축</t>
  </si>
  <si>
    <t>국민 63129013644692 (주)케이티CV-P499926-3500040714/ 납기일자:2024.07.31. 납기일자 경과시 2.00%의 가산금이 부과됩니다.</t>
  </si>
  <si>
    <t>2024-06-24</t>
  </si>
  <si>
    <t>(30/61회차) 21년 지역 에너지 신산업_진천피씨 태양광 구축</t>
  </si>
  <si>
    <t>국민 63129013644692 (주)케이티CV-P499926-3500041020/ 납기일자:2024.08.31. 납기일자 경과시 2.00%의 가산금이 부과됩니다.</t>
  </si>
  <si>
    <t>2024-07-24</t>
  </si>
  <si>
    <t>(31/61회차) 21년 지역 에너지 신산업_진천피씨 태양광 구축</t>
  </si>
  <si>
    <t>국민 63129013644692 (주)케이티CV-P499926-3500041309/ 납기일자:2024.09.30. 납기일자 경과시 2.00%의 가산금이 부과됩니다.</t>
  </si>
  <si>
    <t>2024-08-24</t>
  </si>
  <si>
    <t>(32/61회차) 21년 지역 에너지 신산업_진천피씨 태양광 구축</t>
  </si>
  <si>
    <t>국민 63129013644692 (주)케이티CV-P499926-3500041572/ 납기일자:2024.10.31. 납기일자 경과시 2.00%의 가산금이 부과됩니다.</t>
  </si>
  <si>
    <t>2024-09-24</t>
  </si>
  <si>
    <t>(33/61회차) 21년 지역 에너지 신산업_진천피씨 태양광 구축</t>
  </si>
  <si>
    <t>국민 63129013644692 (주)케이티CV-P499926-3500041900/ 납기일자:2024.11.30. 납기일자 경과시 2.00%의 가산금이 부과됩니다.</t>
  </si>
  <si>
    <t>2024-10-24</t>
  </si>
  <si>
    <t>(34/61회차) 21년 지역 에너지 신산업_진천피씨 태양광 구축</t>
  </si>
  <si>
    <t>국민 63129013644692 (주)케이티CV-P499926-3500042182/ 납기일자:2024.12.31. 납기일자 경과시 2.00%의 가산금이 부과됩니다.</t>
  </si>
  <si>
    <t>2024-11-24</t>
  </si>
  <si>
    <t>(35/61회차) 21년 지역 에너지 신산업_진천피씨 태양광 구축</t>
  </si>
  <si>
    <t>국민 63129013644692 (주)케이티CV-P499926-3500042525/ 납기일자:2025.01.31. 납기일자 경과시 2.00%의 가산금이 부과됩니다.</t>
  </si>
  <si>
    <t>2024-12-24</t>
  </si>
  <si>
    <t>(36/61회차) 21년 지역 에너지 신산업_진천피씨 태양광 구축</t>
  </si>
  <si>
    <t>국민 63129013644692 (주)케이티CV-P546867-3500042877/ 납기일자:2025.02.28. 납기일자 경과시 2.00%의 가산금이 부과됩니다.</t>
  </si>
  <si>
    <t>2025-01-24</t>
  </si>
  <si>
    <t>(37/61회차) 21년 지역 에너지 신산업_진천피씨 태양광 구축</t>
  </si>
  <si>
    <t>국민 63129013644692 (주)케이티CV-P546867-3500043148/ 납기일자:2025.03.31. 납기일자 경과시 2.00%의 가산금이 부과됩니다.</t>
  </si>
  <si>
    <t>2025-02-24</t>
  </si>
  <si>
    <t>(38/61회차) 21년 지역 에너지 신산업_진천피씨 태양광 구축</t>
  </si>
  <si>
    <t>국민 63129013644692 (주)케이티CV-P546867-3500043422/ 납기일자:2025.04.30. 납기일자 경과시 2.00%의 가산금이 부과됩니다.</t>
  </si>
  <si>
    <t>2025-03-24</t>
  </si>
  <si>
    <t>(39/61회차) 21년 지역 에너지 신산업_진천피씨 태양광 구축</t>
  </si>
  <si>
    <t>국민 63129013644692 (주)케이티CV-P546867-3500043760/ 납기일자:2025.05.31. 납기일자 경과시 2.00%의 가산금이 부과됩니다.</t>
  </si>
  <si>
    <t>2025-04-24</t>
  </si>
  <si>
    <t>(40/61회차) 21년 지역 에너지 신산업_진천피씨 태양광 구축</t>
  </si>
  <si>
    <t>국민 63129013644692 (주)케이티CV-P546867-3500044111/ 납기일자:2025.06.30. 납기일자 경과시 2.00%의 가산금이 부과됩니다.</t>
  </si>
  <si>
    <t>2025-05-24</t>
  </si>
  <si>
    <t>(41/61회차) 21년 지역 에너지 신산업_진천피씨 태양광 구축</t>
  </si>
  <si>
    <t>국민 63129013644692 (주)케이티CV-P546867-3500044397/ 납기일자:2025.07.31. 납기일자 경과시 2.00%의 가산금이 부과됩니다.</t>
  </si>
  <si>
    <t>2025-06-24</t>
  </si>
  <si>
    <t>(42/61회차) 21년 지역 에너지 신산업_진천피씨 태양광 구축</t>
  </si>
  <si>
    <t>국민 63129013644692 (주)케이티CV-P546867-3500044741/ 납기일자:2025.08.31. 납기일자 경과시 2.00%의 가산금이 부과됩니다.</t>
  </si>
  <si>
    <t>2025-07-24</t>
  </si>
  <si>
    <t>(43/61회차) 21년 지역 에너지 신산업_진천피씨 태양광 구축</t>
  </si>
  <si>
    <t>국민 63129013644692 (주)케이티CV-P546867-3500045040/ 납기일자:2025.09.30. 납기일자 경과시 2.00%의 가산금이 부과됩니다.</t>
  </si>
  <si>
    <t>2025-08-24</t>
  </si>
  <si>
    <t>(44/61회차) 21년 지역 에너지 신산업_진천피씨 태양광 구축</t>
  </si>
  <si>
    <t>국민 63129013644692 (주)케이티CV-P546867-3500045400/ 납기일자:2025.10.31. 납기일자 경과시 2.00%의 가산금이 부과됩니다.</t>
  </si>
  <si>
    <t>2025-09-24</t>
  </si>
  <si>
    <t>(45/61회차) 21년 지역 에너지 신산업_진천피씨 태양광 구축</t>
  </si>
  <si>
    <t>국민 63129013644692 (주)케이티CV-P546867-3500045808/ 납기일자:2025.11.30. 납기일자 경과시 2.00%의 가산금이 부과됩니다.</t>
  </si>
  <si>
    <t>2025-10-24</t>
  </si>
  <si>
    <t>(46/61회차) 21년 지역 에너지 신산업_진천피씨 태양광 구축</t>
  </si>
  <si>
    <t>국민 63129013644692 (주)케이티CV-P546867-3500046196/ 납기일자:2025.12.31. 납기일자 경과시 2.00%의 가산금이 부과됩니다.</t>
  </si>
  <si>
    <t>2025-11-24</t>
  </si>
  <si>
    <t>(47/61회차) 21년 지역 에너지 신산업_진천피씨 태양광 구축</t>
  </si>
  <si>
    <t>국민 63129013644692 (주)케이티CV-P546867-3500046647/ 납기일자:2026.01.31. 납기일자 경과시 2.00%의 가산금이 부과됩니다.</t>
  </si>
  <si>
    <t>2025-12-24</t>
  </si>
  <si>
    <t>(48/61회차) 21년 지역 에너지 신산업_진천피씨 태양광 구축</t>
  </si>
  <si>
    <t>국민 63129013644692 (주)케이티CV-P546867-3500047069/ 납기일자:2026.02.28. 납기일자 경과시 2.00%의 가산금이 부과됩니다.</t>
  </si>
  <si>
    <t>2026-01-24</t>
  </si>
  <si>
    <t>(49/61회차) 21년 지역 에너지 신산업_진천피씨 태양광 구축</t>
  </si>
  <si>
    <t>국민 63129013644692 (주)케이티CV-P546867-3500047400/ 납기일자:2026.03.31. 납기일자 경과시 2.00%의 가산금이 부과됩니다.</t>
  </si>
  <si>
    <t>2026-02-24</t>
  </si>
  <si>
    <t>(50/61회차) 21년 지역 에너지 신산업_진천피씨 태양광 구축</t>
  </si>
  <si>
    <t>국민 63129013644692 (주)케이티CV-P546867-3500047736/ 납기일자:2026.04.30. 납기일자 경과시 2.00%의 가산금이 부과됩니다.</t>
  </si>
  <si>
    <t>2026-03-24</t>
  </si>
  <si>
    <t>(51/61회차) 21년 지역 에너지 신산업_진천피씨 태양광 구축</t>
  </si>
  <si>
    <t>국민 63129013644692 (주)케이티
 CV-P556061-3500048064/ 납기일자:2026.05.31. 납기일자 경과시 2.00%의 가산금이 부과됩니다.</t>
  </si>
  <si>
    <t>2026-04-24</t>
  </si>
  <si>
    <t>(52/61회차) 21년 지역 에너지 신산업_진천피씨 태양광 구축</t>
  </si>
  <si>
    <t>국민 63129013644692 (주)케이티
 CV-P556061-3500048379/ 납기일자:2026.06.30. 납기일자 경과시 2.00%의 가산금이 부과됩니다.</t>
  </si>
  <si>
    <t>2026-05-24</t>
  </si>
  <si>
    <t>(53/61회차) 21년 지역 에너지 신산업_진천피씨 태양광 구축</t>
  </si>
  <si>
    <t>국민 63129013644692 (주)케이티
 CV-P556061-3500048725/ 납기일자:2026.07.31. 납기일자 경과시 2.00%의 가산금이 부과됩니다.</t>
  </si>
  <si>
    <t>2026-06-24</t>
  </si>
  <si>
    <t>(54/61회차) 21년 지역 에너지 신산업_진천피씨 태양광 구축</t>
  </si>
  <si>
    <t>국민 63129013644692 (주)케이티
 CV-P556061-3500049082/ 납기일자:2026.08.31. 납기일자 경과시 2.00%의 가산금이 부과됩니다.</t>
  </si>
  <si>
    <t>2026-07-24</t>
  </si>
  <si>
    <t>(55/61회차) 21년 지역 에너지 신산업_진천피씨 태양광 구축</t>
  </si>
  <si>
    <t>국민 63129013644692 (주)케이티
 CV-P556061-3500049419/ 납기일자:2026.09.30. 납기일자 경과시 2.00%의 가산금이 부과됩니다.</t>
  </si>
  <si>
    <t>2026-08-24</t>
  </si>
  <si>
    <t>(56/61회차) 21년 지역 에너지 신산업_진천피씨 태양광 구축</t>
  </si>
  <si>
    <t>국민 63129013644692 (주)케이티
 CV-P556061-3500049773/ 납기일자:2026.10.31. 납기일자 경과시 2.00%의 가산금이 부과됩니다.</t>
  </si>
  <si>
    <t>2026-09-24</t>
  </si>
  <si>
    <t>(57/61회차) 21년 지역 에너지 신산업_진천피씨 태양광 구축</t>
  </si>
  <si>
    <t>작성일자 - 연도별</t>
  </si>
  <si>
    <t>작성일자 - 월</t>
  </si>
  <si>
    <t>합계 : 합계금액</t>
  </si>
  <si>
    <t>거래일자 - 연도별</t>
  </si>
  <si>
    <t>거래일자 - 월</t>
  </si>
  <si>
    <t>합계 : 출금_차감</t>
  </si>
  <si>
    <t>2022</t>
  </si>
  <si>
    <t>2월</t>
  </si>
  <si>
    <t>3월</t>
  </si>
  <si>
    <t>5월</t>
  </si>
  <si>
    <t>4월</t>
  </si>
  <si>
    <t>6월</t>
  </si>
  <si>
    <t>7월</t>
  </si>
  <si>
    <t>8월</t>
  </si>
  <si>
    <t>9월</t>
  </si>
  <si>
    <t>10월</t>
  </si>
  <si>
    <t>11월</t>
  </si>
  <si>
    <t>2023</t>
  </si>
  <si>
    <t>1월</t>
  </si>
  <si>
    <t>12월</t>
  </si>
  <si>
    <t>2024</t>
  </si>
  <si>
    <t>2025</t>
  </si>
  <si>
    <t>2026</t>
  </si>
  <si>
    <t>총계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</si>
</sst>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###,##0"/>
    <numFmt numFmtId="166" formatCode="m/d/yyyy h:mm:ss"/>
  </numFmts>
  <fonts count="3">
    <font>
      <sz val="11.0"/>
      <color theme="1"/>
      <name val="Aptos Narrow"/>
      <scheme val="minor"/>
    </font>
    <font>
      <color theme="1"/>
      <name val="Aptos Narrow"/>
      <scheme val="minor"/>
    </font>
    <font>
      <sz val="11.0"/>
      <color theme="1"/>
      <name val="Malgun Gothic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AE2D5"/>
        <bgColor rgb="FFFAE2D5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C1F0C8"/>
        <bgColor rgb="FFC1F0C8"/>
      </patternFill>
    </fill>
    <fill>
      <patternFill patternType="solid">
        <fgColor rgb="FFA6C9EB"/>
        <bgColor rgb="FFA6C9EB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0" fillId="0" fontId="2" numFmtId="164" xfId="0" applyAlignment="1" applyFont="1" applyNumberFormat="1">
      <alignment vertical="center"/>
    </xf>
    <xf borderId="0" fillId="0" fontId="2" numFmtId="0" xfId="0" applyAlignment="1" applyFont="1">
      <alignment horizontal="center" shrinkToFit="0" vertical="center" wrapText="1"/>
    </xf>
    <xf borderId="0" fillId="0" fontId="2" numFmtId="20" xfId="0" applyAlignment="1" applyFont="1" applyNumberFormat="1">
      <alignment vertical="center"/>
    </xf>
    <xf borderId="0" fillId="0" fontId="2" numFmtId="3" xfId="0" applyAlignment="1" applyFont="1" applyNumberFormat="1">
      <alignment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165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0" fillId="0" fontId="2" numFmtId="164" xfId="0" applyAlignment="1" applyFont="1" applyNumberFormat="1">
      <alignment horizontal="center" vertical="center"/>
    </xf>
    <xf borderId="0" fillId="0" fontId="2" numFmtId="21" xfId="0" applyAlignment="1" applyFont="1" applyNumberFormat="1">
      <alignment vertical="center"/>
    </xf>
    <xf borderId="0" fillId="0" fontId="1" numFmtId="166" xfId="0" applyAlignment="1" applyFont="1" applyNumberFormat="1">
      <alignment vertical="center"/>
    </xf>
    <xf borderId="2" fillId="3" fontId="2" numFmtId="165" xfId="0" applyAlignment="1" applyBorder="1" applyFill="1" applyFont="1" applyNumberFormat="1">
      <alignment vertical="center"/>
    </xf>
    <xf borderId="2" fillId="3" fontId="2" numFmtId="3" xfId="0" applyAlignment="1" applyBorder="1" applyFill="1" applyFont="1" applyNumberFormat="1">
      <alignment vertical="center"/>
    </xf>
    <xf borderId="2" fillId="3" fontId="2" numFmtId="0" xfId="0" applyAlignment="1" applyBorder="1" applyFill="1" applyFont="1">
      <alignment vertical="center"/>
    </xf>
    <xf borderId="2" fillId="4" fontId="2" numFmtId="165" xfId="0" applyAlignment="1" applyBorder="1" applyFill="1" applyFont="1" applyNumberFormat="1">
      <alignment vertical="center"/>
    </xf>
    <xf borderId="2" fillId="4" fontId="2" numFmtId="3" xfId="0" applyAlignment="1" applyBorder="1" applyFill="1" applyFont="1" applyNumberFormat="1">
      <alignment vertical="center"/>
    </xf>
    <xf borderId="2" fillId="5" fontId="2" numFmtId="165" xfId="0" applyAlignment="1" applyBorder="1" applyFill="1" applyFont="1" applyNumberFormat="1">
      <alignment vertical="center"/>
    </xf>
    <xf borderId="2" fillId="5" fontId="2" numFmtId="3" xfId="0" applyAlignment="1" applyBorder="1" applyFill="1" applyFont="1" applyNumberFormat="1">
      <alignment vertical="center"/>
    </xf>
    <xf borderId="2" fillId="6" fontId="2" numFmtId="165" xfId="0" applyAlignment="1" applyBorder="1" applyFill="1" applyFont="1" applyNumberFormat="1">
      <alignment vertical="center"/>
    </xf>
    <xf borderId="2" fillId="6" fontId="2" numFmtId="3" xfId="0" applyAlignment="1" applyBorder="1" applyFill="1" applyFont="1" applyNumberFormat="1">
      <alignment vertical="center"/>
    </xf>
    <xf borderId="2" fillId="7" fontId="2" numFmtId="165" xfId="0" applyAlignment="1" applyBorder="1" applyFill="1" applyFont="1" applyNumberFormat="1">
      <alignment vertical="center"/>
    </xf>
    <xf borderId="2" fillId="7" fontId="2" numFmtId="3" xfId="0" applyAlignment="1" applyBorder="1" applyFill="1" applyFont="1" applyNumberFormat="1">
      <alignment vertical="center"/>
    </xf>
    <xf borderId="0" fillId="0" fontId="2" numFmtId="165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G58" sheet="계산서"/>
  </cacheSource>
  <cacheFields>
    <cacheField name="작성일자" numFmtId="164">
      <sharedItems containsSemiMixedTypes="0" containsNonDate="0" containsDate="1" containsString="0">
        <d v="2022-02-25T00:00:00Z"/>
        <d v="2022-03-24T00:00:00Z"/>
        <d v="2022-04-24T00:00:00Z"/>
        <d v="2022-05-24T00:00:00Z"/>
        <d v="2022-06-24T00:00:00Z"/>
        <d v="2022-07-24T00:00:00Z"/>
        <d v="2022-08-24T00:00:00Z"/>
        <d v="2022-09-24T00:00:00Z"/>
        <d v="2022-10-24T00:00:00Z"/>
        <d v="2022-11-24T00:00:00Z"/>
        <d v="2022-12-24T00:00:00Z"/>
        <d v="2023-01-24T00:00:00Z"/>
        <d v="2023-02-24T00:00:00Z"/>
        <d v="2023-03-24T00:00:00Z"/>
        <d v="2023-04-24T00:00:00Z"/>
        <d v="2023-05-24T00:00:00Z"/>
        <d v="2023-06-24T00:00:00Z"/>
        <d v="2023-07-24T00:00:00Z"/>
        <d v="2023-08-24T00:00:00Z"/>
        <d v="2023-09-24T00:00:00Z"/>
        <d v="2023-10-24T00:00:00Z"/>
        <d v="2023-11-24T00:00:00Z"/>
        <d v="2023-12-24T00:00:00Z"/>
        <d v="2024-01-24T00:00:00Z"/>
        <d v="2024-02-24T00:00:00Z"/>
        <d v="2024-03-24T00:00:00Z"/>
        <d v="2024-04-24T00:00:00Z"/>
        <d v="2024-05-24T00:00:00Z"/>
        <d v="2024-06-24T00:00:00Z"/>
        <d v="2024-07-24T00:00:00Z"/>
        <d v="2024-08-24T00:00:00Z"/>
        <d v="2024-09-24T00:00:00Z"/>
        <d v="2024-10-24T00:00:00Z"/>
        <d v="2024-11-24T00:00:00Z"/>
        <d v="2024-12-24T00:00:00Z"/>
        <d v="2025-01-24T00:00:00Z"/>
        <d v="2025-02-24T00:00:00Z"/>
        <d v="2025-03-24T00:00:00Z"/>
        <d v="2025-04-24T00:00:00Z"/>
        <d v="2025-05-24T00:00:00Z"/>
        <d v="2025-06-24T00:00:00Z"/>
        <d v="2025-07-24T00:00:00Z"/>
        <d v="2025-08-24T00:00:00Z"/>
        <d v="2025-09-24T00:00:00Z"/>
        <d v="2025-10-24T00:00:00Z"/>
        <d v="2025-11-24T00:00:00Z"/>
        <d v="2025-12-24T00:00:00Z"/>
        <d v="2026-01-24T00:00:00Z"/>
        <d v="2026-02-24T00:00:00Z"/>
        <d v="2026-03-24T00:00:00Z"/>
        <d v="2026-04-24T00:00:00Z"/>
        <d v="2026-05-24T00:00:00Z"/>
        <d v="2026-06-24T00:00:00Z"/>
        <d v="2026-07-24T00:00:00Z"/>
        <d v="2026-08-24T00:00:00Z"/>
        <d v="2026-09-24T00:00:00Z"/>
      </sharedItems>
      <fieldGroup par="7"/>
    </cacheField>
    <cacheField name="합계금액" numFmtId="165">
      <sharedItems containsSemiMixedTypes="0" containsString="0" containsNumber="1" containsInteger="1">
        <n v="3060530.0"/>
        <n v="1.49889E7"/>
      </sharedItems>
    </cacheField>
    <cacheField name="공급가액" numFmtId="165">
      <sharedItems containsSemiMixedTypes="0" containsString="0" containsNumber="1" containsInteger="1">
        <n v="2782300.0"/>
        <n v="1.49889E8"/>
      </sharedItems>
    </cacheField>
    <cacheField name="세액" numFmtId="165">
      <sharedItems containsSemiMixedTypes="0" containsString="0" containsNumber="1" containsInteger="1">
        <n v="278230.0"/>
        <n v="1.49889E7"/>
      </sharedItems>
    </cacheField>
    <cacheField name="비고" numFmtId="0">
      <sharedItems>
        <s v="국민 63129013644692 (주)케이티CV-P481678-3500033693/ 납기일자:2022.03.31. 납기일자 경과시 2.00%의 가산금이 부과됩니다."/>
        <s v="국민 63129013644692 (주)케이티CV-P481678-3500033694/ 납기일자:2022.04.30. 납기일자 경과시 2.00%의 가산금이 부과됩니다."/>
        <s v="국민 63129013644692 (주)케이티CV-P481678-3500033825/ 납기일자:2022.04.30. 납기일자 경과시 2.00%의 가산금이 부과됩니다."/>
        <s v="국민 63129013644692 (주)케이티CV-P481678-3500034024/ 납기일자:2022.05.31. 납기일자 경과시 2.00%의 가산금이 부과됩니다."/>
        <s v="국민 63129013644692 (주)케이티CV-P481678-3500034197/ 납기일자:2022.06.30. 납기일자 경과시 2.00%의 가산금이 부과됩니다."/>
        <s v="국민 63129013644692 (주)케이티CV-P481678-3500034411/ 납기일자:2022.07.31. 납기일자 경과시 2.00%의 가산금이 부과됩니다."/>
        <s v="국민 63129013644692 (주)케이티CV-P481678-3500034683/ 납기일자:2022.08.31. 납기일자 경과시 2.00%의 가산금이 부과됩니다."/>
        <s v="국민 63129013644692 (주)케이티CV-P481678-3500034880/ 납기일자:2022.09.30. 납기일자 경과시 2.00%의 가산금이 부과됩니다."/>
        <s v="국민 63129013644692 (주)케이티CV-P481678-3500035152/ 납기일자:2022.10.31. 납기일자 경과시 2.00%의 가산금이 부과됩니다."/>
        <s v="국민 63129013644692 (주)케이티CV-P481678-3500035406/ 납기일자:2022.11.30. 납기일자 경과시 2.00%의 가산금이 부과됩니다."/>
        <s v="국민 63129013644692 (주)케이티CV-P481678-3500035645/ 납기일자:2022.12.31. 납기일자 경과시 2.00%의 가산금이 부과됩니다."/>
        <s v="국민 63129013644692 (주)케이티CV-P481678-3500035940/ 납기일자:2023.01.31. 납기일자 경과시 2.00%의 가산금이 부과됩니다."/>
        <s v="국민 63129013644692 (주)케이티CV-P481678-3500036232/ 납기일자:2023.02.28. 납기일자 경과시 2.00%의 가산금이 부과됩니다."/>
        <s v="국민 63129013644692 (주)케이티CV-P468985-3500036454/ 납기일자:2023.03.31. 납기일자 경과시 2.00%의 가산금이 부과됩니다."/>
        <s v="국민 63129013644692 (주)케이티CV-P468985-3500036690/ 납기일자:2023.04.30. 납기일자 경과시 2.00%의 가산금이 부과됩니다."/>
        <s v="국민 63129013644692 (주)케이티CV-P468985-3500036938/ 납기일자:2023.05.31. 납기일자 경과시 2.00%의 가산금이 부과됩니다."/>
        <s v="국민 63129013644692 (주)케이티CV-P468985-3500037184/ 납기일자:2023.06.30. 납기일자 경과시 2.00%의 가산금이 부과됩니다."/>
        <s v="국민 63129013644692 (주)케이티CV-P468985-3500037496/ 납기일자:2023.07.31. 납기일자 경과시 2.00%의 가산금이 부과됩니다."/>
        <s v="국민 63129013644692 (주)케이티CV-P468985-3500037755/ 납기일자:2023.08.31. 납기일자 경과시 2.00%의 가산금이 부과됩니다."/>
        <s v="국민 63129013644692 (주)케이티CV-P468985-3500037987/ 납기일자:2023.09.30. 납기일자 경과시 2.00%의 가산금이 부과됩니다."/>
        <s v="국민 63129013644692 (주)케이티CV-P468985-3500038258/ 납기일자:2023.10.31. 납기일자 경과시 2.00%의 가산금이 부과됩니다."/>
        <s v="국민 63129013644692 (주)케이티CV-P468985-3500038521/ 납기일자:2023.11.30. 납기일자 경과시 2.00%의 가산금이 부과됩니다."/>
        <s v="국민 63129013644692 (주)케이티CV-P468985-3500038811/ 납기일자:2023.12.31. 납기일자 경과시 2.00%의 가산금이 부과됩니다."/>
        <s v="국민 63129013644692 (주)케이티CV-P499926-3500039112/ 납기일자:2024.01.31. 납기일자 경과시 2.00%의 가산금이 부과됩니다."/>
        <s v="국민 63129013644692 (주)케이티CV-P499926-3500039414/ 납기일자:2024.02.29. 납기일자 경과시 2.00%의 가산금이 부과됩니다."/>
        <s v="국민 63129013644692 (주)케이티CV-P499926-3500039668/ 납기일자:2024.03.31. 납기일자 경과시 2.00%의 가산금이 부과됩니다."/>
        <s v="국민 63129013644692 (주)케이티CV-P499926-3500039923/ 납기일자:2024.04.30. 납기일자 경과시 2.00%의 가산금이 부과됩니다."/>
        <s v="국민 63129013644692 (주)케이티CV-P499926-3500040214/ 납기일자:2024.05.31. 납기일자 경과시 2.00%의 가산금이 부과됩니다."/>
        <s v="국민 63129013644692 (주)케이티CV-P499926-3500040457/ 납기일자:2024.06.30. 납기일자 경과시 2.00%의 가산금이 부과됩니다."/>
        <s v="국민 63129013644692 (주)케이티CV-P499926-3500040714/ 납기일자:2024.07.31. 납기일자 경과시 2.00%의 가산금이 부과됩니다."/>
        <s v="국민 63129013644692 (주)케이티CV-P499926-3500041020/ 납기일자:2024.08.31. 납기일자 경과시 2.00%의 가산금이 부과됩니다."/>
        <s v="국민 63129013644692 (주)케이티CV-P499926-3500041309/ 납기일자:2024.09.30. 납기일자 경과시 2.00%의 가산금이 부과됩니다."/>
        <s v="국민 63129013644692 (주)케이티CV-P499926-3500041572/ 납기일자:2024.10.31. 납기일자 경과시 2.00%의 가산금이 부과됩니다."/>
        <s v="국민 63129013644692 (주)케이티CV-P499926-3500041900/ 납기일자:2024.11.30. 납기일자 경과시 2.00%의 가산금이 부과됩니다."/>
        <s v="국민 63129013644692 (주)케이티CV-P499926-3500042182/ 납기일자:2024.12.31. 납기일자 경과시 2.00%의 가산금이 부과됩니다."/>
        <s v="국민 63129013644692 (주)케이티CV-P499926-3500042525/ 납기일자:2025.01.31. 납기일자 경과시 2.00%의 가산금이 부과됩니다."/>
        <s v="국민 63129013644692 (주)케이티CV-P546867-3500042877/ 납기일자:2025.02.28. 납기일자 경과시 2.00%의 가산금이 부과됩니다."/>
        <s v="국민 63129013644692 (주)케이티CV-P546867-3500043148/ 납기일자:2025.03.31. 납기일자 경과시 2.00%의 가산금이 부과됩니다."/>
        <s v="국민 63129013644692 (주)케이티CV-P546867-3500043422/ 납기일자:2025.04.30. 납기일자 경과시 2.00%의 가산금이 부과됩니다."/>
        <s v="국민 63129013644692 (주)케이티CV-P546867-3500043760/ 납기일자:2025.05.31. 납기일자 경과시 2.00%의 가산금이 부과됩니다."/>
        <s v="국민 63129013644692 (주)케이티CV-P546867-3500044111/ 납기일자:2025.06.30. 납기일자 경과시 2.00%의 가산금이 부과됩니다."/>
        <s v="국민 63129013644692 (주)케이티CV-P546867-3500044397/ 납기일자:2025.07.31. 납기일자 경과시 2.00%의 가산금이 부과됩니다."/>
        <s v="국민 63129013644692 (주)케이티CV-P546867-3500044741/ 납기일자:2025.08.31. 납기일자 경과시 2.00%의 가산금이 부과됩니다."/>
        <s v="국민 63129013644692 (주)케이티CV-P546867-3500045040/ 납기일자:2025.09.30. 납기일자 경과시 2.00%의 가산금이 부과됩니다."/>
        <s v="국민 63129013644692 (주)케이티CV-P546867-3500045400/ 납기일자:2025.10.31. 납기일자 경과시 2.00%의 가산금이 부과됩니다."/>
        <s v="국민 63129013644692 (주)케이티CV-P546867-3500045808/ 납기일자:2025.11.30. 납기일자 경과시 2.00%의 가산금이 부과됩니다."/>
        <s v="국민 63129013644692 (주)케이티CV-P546867-3500046196/ 납기일자:2025.12.31. 납기일자 경과시 2.00%의 가산금이 부과됩니다."/>
        <s v="국민 63129013644692 (주)케이티CV-P546867-3500046647/ 납기일자:2026.01.31. 납기일자 경과시 2.00%의 가산금이 부과됩니다."/>
        <s v="국민 63129013644692 (주)케이티CV-P546867-3500047069/ 납기일자:2026.02.28. 납기일자 경과시 2.00%의 가산금이 부과됩니다."/>
        <s v="국민 63129013644692 (주)케이티CV-P546867-3500047400/ 납기일자:2026.03.31. 납기일자 경과시 2.00%의 가산금이 부과됩니다."/>
        <s v="국민 63129013644692 (주)케이티CV-P546867-3500047736/ 납기일자:2026.04.30. 납기일자 경과시 2.00%의 가산금이 부과됩니다."/>
        <s v="국민 63129013644692 (주)케이티&#10; CV-P556061-3500048064/ 납기일자:2026.05.31. 납기일자 경과시 2.00%의 가산금이 부과됩니다."/>
        <s v="국민 63129013644692 (주)케이티&#10; CV-P556061-3500048379/ 납기일자:2026.06.30. 납기일자 경과시 2.00%의 가산금이 부과됩니다."/>
        <s v="국민 63129013644692 (주)케이티&#10; CV-P556061-3500048725/ 납기일자:2026.07.31. 납기일자 경과시 2.00%의 가산금이 부과됩니다."/>
        <s v="국민 63129013644692 (주)케이티&#10; CV-P556061-3500049082/ 납기일자:2026.08.31. 납기일자 경과시 2.00%의 가산금이 부과됩니다."/>
        <s v="국민 63129013644692 (주)케이티&#10; CV-P556061-3500049419/ 납기일자:2026.09.30. 납기일자 경과시 2.00%의 가산금이 부과됩니다."/>
        <s v="국민 63129013644692 (주)케이티&#10; CV-P556061-3500049773/ 납기일자:2026.10.31. 납기일자 경과시 2.00%의 가산금이 부과됩니다."/>
      </sharedItems>
    </cacheField>
    <cacheField name="품목일자" numFmtId="0">
      <sharedItems>
        <s v="2022-02-25"/>
        <s v="2022-03-24"/>
        <s v="2022-04-24"/>
        <s v="2022-05-24"/>
        <s v="2022-06-24"/>
        <s v="2022-07-24"/>
        <s v="2022-08-24"/>
        <s v="2022-09-24"/>
        <s v="2022-10-24"/>
        <s v="2022-11-24"/>
        <s v="2022-12-24"/>
        <s v="2023-01-24"/>
        <s v="2023-02-24"/>
        <s v="2023-03-24"/>
        <s v="2023-04-24"/>
        <s v="2023-05-24"/>
        <s v="2023-06-24"/>
        <s v="2023-07-24"/>
        <s v="2023-08-24"/>
        <s v="2023-09-24"/>
        <s v="2023-10-24"/>
        <s v="2023-11-24"/>
        <s v="2023-12-24"/>
        <s v="2024-01-24"/>
        <s v="2024-02-24"/>
        <s v="2024-03-24"/>
        <s v="2024-04-24"/>
        <s v="2024-05-24"/>
        <s v="2024-06-24"/>
        <s v="2024-07-24"/>
        <s v="2024-08-24"/>
        <s v="2024-09-24"/>
        <s v="2024-10-24"/>
        <s v="2024-11-24"/>
        <s v="2024-12-24"/>
        <s v="2025-01-24"/>
        <s v="2025-02-24"/>
        <s v="2025-03-24"/>
        <s v="2025-04-24"/>
        <s v="2025-05-24"/>
        <s v="2025-06-24"/>
        <s v="2025-07-24"/>
        <s v="2025-08-24"/>
        <s v="2025-09-24"/>
        <s v="2025-10-24"/>
        <s v="2025-11-24"/>
        <s v="2025-12-24"/>
        <s v="2026-01-24"/>
        <s v="2026-02-24"/>
        <s v="2026-03-24"/>
        <s v="2026-04-24"/>
        <s v="2026-05-24"/>
        <s v="2026-06-24"/>
        <s v="2026-07-24"/>
        <s v="2026-08-24"/>
        <s v="2026-09-24"/>
      </sharedItems>
    </cacheField>
    <cacheField name="품목명" numFmtId="0">
      <sharedItems>
        <s v="(1/61회차)21년 지역 에너지 신산업_진천피씨 태양광 구축"/>
        <s v="(2/61회차)21년 지역 에너지 신산업_진천피씨 태양광 구축_정부보조금"/>
        <s v="(3/61회차) 21년 지역 에너지 신산업_진천피씨 태양광 구축"/>
        <s v="(4/61회차) 21년 지역 에너지 신산업_진천피씨 태양광 구축"/>
        <s v="(5/61회차) 21년 지역 에너지 신산업_진천피씨 태양광 구축"/>
        <s v="(6/61회차) 21년 지역 에너지 신산업_진천피씨 태양광 구축"/>
        <s v="(7/61회차) 21년 지역 에너지 신산업_진천피씨 태양광 구축"/>
        <s v="(8/61회차) 21년 지역 에너지 신산업_진천피씨 태양광 구축"/>
        <s v="(9/61회차) 21년 지역 에너지 신산업_진천피씨 태양광 구축"/>
        <s v="(10/61회차) 21년 지역 에너지 신산업_진천피씨 태양광 구축"/>
        <s v="(11/61회차) 21년 지역 에너지 신산업_진천피씨 태양광 구축"/>
        <s v="(12/61회차) 21년 지역 에너지 신산업_진천피씨 태양광 구축"/>
        <s v="(13/61회차) 21년 지역 에너지 신산업_진천피씨 태양광 구축"/>
        <s v="(14/61회차) 21년 지역 에너지 신산업_진천피씨 태양광 구축"/>
        <s v="(15/61회차) 21년 지역 에너지 신산업_진천피씨 태양광 구축"/>
        <s v="(16/61회차) 21년 지역 에너지 신산업_진천피씨 태양광 구축"/>
        <s v="(17/61회차) 21년 지역 에너지 신산업_진천피씨 태양광 구축"/>
        <s v="(18/61회차) 21년 지역 에너지 신산업_진천피씨 태양광 구축"/>
        <s v="(19/61회차) 21년 지역 에너지 신산업_진천피씨 태양광 구축"/>
        <s v="(20/61회차) 21년 지역 에너지 신산업_진천피씨 태양광 구축"/>
        <s v="(21/61회차) 21년 지역 에너지 신산업_진천피씨 태양광 구축"/>
        <s v="(22/61회차) 21년 지역 에너지 신산업_진천피씨 태양광 구축"/>
        <s v="(23/61회차) 21년 지역 에너지 신산업_진천피씨 태양광 구축"/>
        <s v="(24/61회차) 21년 지역 에너지 신산업_진천피씨 태양광 구축"/>
        <s v="(25/61회차) 21년 지역 에너지 신산업_진천피씨 태양광 구축"/>
        <s v="(26/61회차) 21년 지역 에너지 신산업_진천피씨 태양광 구축"/>
        <s v="(27/61회차) 21년 지역 에너지 신산업_진천피씨 태양광 구축"/>
        <s v="(28/61회차) 21년 지역 에너지 신산업_진천피씨 태양광 구축"/>
        <s v="(29/61회차) 21년 지역 에너지 신산업_진천피씨 태양광 구축"/>
        <s v="(30/61회차) 21년 지역 에너지 신산업_진천피씨 태양광 구축"/>
        <s v="(31/61회차) 21년 지역 에너지 신산업_진천피씨 태양광 구축"/>
        <s v="(32/61회차) 21년 지역 에너지 신산업_진천피씨 태양광 구축"/>
        <s v="(33/61회차) 21년 지역 에너지 신산업_진천피씨 태양광 구축"/>
        <s v="(34/61회차) 21년 지역 에너지 신산업_진천피씨 태양광 구축"/>
        <s v="(35/61회차) 21년 지역 에너지 신산업_진천피씨 태양광 구축"/>
        <s v="(36/61회차) 21년 지역 에너지 신산업_진천피씨 태양광 구축"/>
        <s v="(37/61회차) 21년 지역 에너지 신산업_진천피씨 태양광 구축"/>
        <s v="(38/61회차) 21년 지역 에너지 신산업_진천피씨 태양광 구축"/>
        <s v="(39/61회차) 21년 지역 에너지 신산업_진천피씨 태양광 구축"/>
        <s v="(40/61회차) 21년 지역 에너지 신산업_진천피씨 태양광 구축"/>
        <s v="(41/61회차) 21년 지역 에너지 신산업_진천피씨 태양광 구축"/>
        <s v="(42/61회차) 21년 지역 에너지 신산업_진천피씨 태양광 구축"/>
        <s v="(43/61회차) 21년 지역 에너지 신산업_진천피씨 태양광 구축"/>
        <s v="(44/61회차) 21년 지역 에너지 신산업_진천피씨 태양광 구축"/>
        <s v="(45/61회차) 21년 지역 에너지 신산업_진천피씨 태양광 구축"/>
        <s v="(46/61회차) 21년 지역 에너지 신산업_진천피씨 태양광 구축"/>
        <s v="(47/61회차) 21년 지역 에너지 신산업_진천피씨 태양광 구축"/>
        <s v="(48/61회차) 21년 지역 에너지 신산업_진천피씨 태양광 구축"/>
        <s v="(49/61회차) 21년 지역 에너지 신산업_진천피씨 태양광 구축"/>
        <s v="(50/61회차) 21년 지역 에너지 신산업_진천피씨 태양광 구축"/>
        <s v="(51/61회차) 21년 지역 에너지 신산업_진천피씨 태양광 구축"/>
        <s v="(52/61회차) 21년 지역 에너지 신산업_진천피씨 태양광 구축"/>
        <s v="(53/61회차) 21년 지역 에너지 신산업_진천피씨 태양광 구축"/>
        <s v="(54/61회차) 21년 지역 에너지 신산업_진천피씨 태양광 구축"/>
        <s v="(55/61회차) 21년 지역 에너지 신산업_진천피씨 태양광 구축"/>
        <s v="(56/61회차) 21년 지역 에너지 신산업_진천피씨 태양광 구축"/>
        <s v="(57/61회차) 21년 지역 에너지 신산업_진천피씨 태양광 구축"/>
      </sharedItems>
    </cacheField>
    <cacheField name="작성일자2" databaseField="0">
      <fieldGroup base="0">
        <rangePr autoStart="0" autoEnd="0" groupBy="years" startDate="2022-02-25T00:00:00Z" endDate="2026-09-25T00:00:00Z"/>
        <groupItems>
          <s v="&lt;02/25/22"/>
          <s v="122"/>
          <s v="123"/>
          <s v="124"/>
          <s v="125"/>
          <s v="126"/>
          <s v="&gt;09/25/26"/>
        </groupItems>
      </fieldGroup>
    </cacheField>
    <cacheField name="작성일자3" databaseField="0">
      <fieldGroup base="0">
        <rangePr autoStart="0" autoEnd="0" groupBy="months" startDate="2022-02-25T00:00:00Z" endDate="2026-09-25T00:00:00Z"/>
        <groupItems>
          <s v="&lt;02/25/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9/25/26"/>
        </groupItems>
      </fieldGroup>
    </cacheField>
    <cacheField name="작성일자4" databaseField="0">
      <fieldGroup base="0">
        <rangePr autoStart="0" autoEnd="0" groupBy="quarters" startDate="2022-02-25T00:00:00Z" endDate="2026-09-25T00:00:00Z"/>
        <groupItems>
          <s v="&lt;02/25/22"/>
          <s v="Qtr1"/>
          <s v="Qtr2"/>
          <s v="Qtr3"/>
          <s v="Qtr4"/>
          <s v="&gt;09/25/26"/>
        </groupItems>
      </fieldGroup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비교" cacheId="0" dataCaption="" compact="0" compactData="0">
  <location ref="B3:E60" firstHeaderRow="0" firstDataRow="3" firstDataCol="0"/>
  <pivotFields>
    <pivotField name="작성일자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합계금액" dataField="1" compact="0" numFmtId="165" outline="0" multipleItemSelectionAllowed="1" showAll="0">
      <items>
        <item x="0"/>
        <item x="1"/>
        <item t="default"/>
      </items>
    </pivotField>
    <pivotField name="공급가액" compact="0" numFmtId="165" outline="0" multipleItemSelectionAllowed="1" showAll="0">
      <items>
        <item x="0"/>
        <item x="1"/>
        <item t="default"/>
      </items>
    </pivotField>
    <pivotField name="세액" compact="0" numFmtId="165" outline="0" multipleItemSelectionAllowed="1" showAll="0">
      <items>
        <item x="0"/>
        <item x="1"/>
        <item t="default"/>
      </items>
    </pivotField>
    <pivotField name="비고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ame="품목일자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품목명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ame="작성일자2" axis="axisRow" compact="0" outline="0" multipleItemSelectionAllowed="1" showAll="0" defaultSubtotal="0">
      <items>
        <item x="0"/>
        <item x="1"/>
        <item x="2"/>
        <item x="3"/>
        <item x="4"/>
        <item x="5"/>
        <item x="6"/>
      </items>
    </pivotField>
    <pivotField name="작성일자3" axis="axisRow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작성일자4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7"/>
    <field x="8"/>
  </rowFields>
  <dataFields>
    <dataField name="합계 : 합계금액" fld="1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88"/>
    <col customWidth="1" min="2" max="3" width="10.0"/>
    <col customWidth="1" min="4" max="4" width="9.0"/>
    <col customWidth="1" min="5" max="5" width="28.25"/>
    <col customWidth="1" min="6" max="6" width="13.0"/>
    <col customWidth="1" min="7" max="7" width="28.75"/>
    <col customWidth="1" min="8" max="26" width="7.63"/>
  </cols>
  <sheetData>
    <row r="1" ht="16.5" customHeight="1">
      <c r="A1" s="2" t="s">
        <v>1</v>
      </c>
      <c r="B1" s="2" t="s">
        <v>13</v>
      </c>
      <c r="C1" s="2" t="s">
        <v>14</v>
      </c>
      <c r="D1" s="2" t="s">
        <v>16</v>
      </c>
      <c r="E1" s="2" t="s">
        <v>17</v>
      </c>
      <c r="F1" s="2" t="s">
        <v>18</v>
      </c>
      <c r="G1" s="2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9">
        <v>44617.0</v>
      </c>
      <c r="B2" s="10">
        <v>3060530.0</v>
      </c>
      <c r="C2" s="10">
        <v>2782300.0</v>
      </c>
      <c r="D2" s="10">
        <v>278230.0</v>
      </c>
      <c r="E2" s="11" t="s">
        <v>23</v>
      </c>
      <c r="F2" s="11" t="s">
        <v>24</v>
      </c>
      <c r="G2" s="12" t="s">
        <v>25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9">
        <v>44617.0</v>
      </c>
      <c r="B3" s="10">
        <v>1.49889E7</v>
      </c>
      <c r="C3" s="10">
        <v>1.49889E8</v>
      </c>
      <c r="D3" s="10">
        <v>1.49889E7</v>
      </c>
      <c r="E3" s="11" t="s">
        <v>27</v>
      </c>
      <c r="F3" s="11" t="s">
        <v>24</v>
      </c>
      <c r="G3" s="12" t="s">
        <v>29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9">
        <v>44644.0</v>
      </c>
      <c r="B4" s="10">
        <v>3060530.0</v>
      </c>
      <c r="C4" s="10">
        <v>2782300.0</v>
      </c>
      <c r="D4" s="10">
        <v>278230.0</v>
      </c>
      <c r="E4" s="11" t="s">
        <v>30</v>
      </c>
      <c r="F4" s="11" t="s">
        <v>31</v>
      </c>
      <c r="G4" s="12" t="s">
        <v>32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9">
        <v>44675.0</v>
      </c>
      <c r="B5" s="10">
        <v>3060530.0</v>
      </c>
      <c r="C5" s="10">
        <v>2782300.0</v>
      </c>
      <c r="D5" s="10">
        <v>278230.0</v>
      </c>
      <c r="E5" s="11" t="s">
        <v>33</v>
      </c>
      <c r="F5" s="11" t="s">
        <v>34</v>
      </c>
      <c r="G5" s="12" t="s">
        <v>35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9">
        <v>44705.0</v>
      </c>
      <c r="B6" s="10">
        <v>3060530.0</v>
      </c>
      <c r="C6" s="10">
        <v>2782300.0</v>
      </c>
      <c r="D6" s="10">
        <v>278230.0</v>
      </c>
      <c r="E6" s="11" t="s">
        <v>36</v>
      </c>
      <c r="F6" s="11" t="s">
        <v>37</v>
      </c>
      <c r="G6" s="12" t="s">
        <v>38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9">
        <v>44736.0</v>
      </c>
      <c r="B7" s="10">
        <v>3060530.0</v>
      </c>
      <c r="C7" s="10">
        <v>2782300.0</v>
      </c>
      <c r="D7" s="10">
        <v>278230.0</v>
      </c>
      <c r="E7" s="11" t="s">
        <v>39</v>
      </c>
      <c r="F7" s="11" t="s">
        <v>40</v>
      </c>
      <c r="G7" s="12" t="s">
        <v>41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9">
        <v>44766.0</v>
      </c>
      <c r="B8" s="10">
        <v>3060530.0</v>
      </c>
      <c r="C8" s="10">
        <v>2782300.0</v>
      </c>
      <c r="D8" s="10">
        <v>278230.0</v>
      </c>
      <c r="E8" s="11" t="s">
        <v>42</v>
      </c>
      <c r="F8" s="11" t="s">
        <v>43</v>
      </c>
      <c r="G8" s="12" t="s">
        <v>44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9">
        <v>44797.0</v>
      </c>
      <c r="B9" s="10">
        <v>3060530.0</v>
      </c>
      <c r="C9" s="10">
        <v>2782300.0</v>
      </c>
      <c r="D9" s="10">
        <v>278230.0</v>
      </c>
      <c r="E9" s="11" t="s">
        <v>45</v>
      </c>
      <c r="F9" s="11" t="s">
        <v>46</v>
      </c>
      <c r="G9" s="12" t="s">
        <v>47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9">
        <v>44828.0</v>
      </c>
      <c r="B10" s="10">
        <v>3060530.0</v>
      </c>
      <c r="C10" s="10">
        <v>2782300.0</v>
      </c>
      <c r="D10" s="10">
        <v>278230.0</v>
      </c>
      <c r="E10" s="11" t="s">
        <v>48</v>
      </c>
      <c r="F10" s="11" t="s">
        <v>49</v>
      </c>
      <c r="G10" s="12" t="s">
        <v>50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9">
        <v>44858.0</v>
      </c>
      <c r="B11" s="10">
        <v>3060530.0</v>
      </c>
      <c r="C11" s="10">
        <v>2782300.0</v>
      </c>
      <c r="D11" s="10">
        <v>278230.0</v>
      </c>
      <c r="E11" s="11" t="s">
        <v>51</v>
      </c>
      <c r="F11" s="11" t="s">
        <v>52</v>
      </c>
      <c r="G11" s="12" t="s">
        <v>53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9">
        <v>44889.0</v>
      </c>
      <c r="B12" s="10">
        <v>3060530.0</v>
      </c>
      <c r="C12" s="10">
        <v>2782300.0</v>
      </c>
      <c r="D12" s="10">
        <v>278230.0</v>
      </c>
      <c r="E12" s="11" t="s">
        <v>54</v>
      </c>
      <c r="F12" s="11" t="s">
        <v>55</v>
      </c>
      <c r="G12" s="12" t="s">
        <v>56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9">
        <v>44919.0</v>
      </c>
      <c r="B13" s="10">
        <v>3060530.0</v>
      </c>
      <c r="C13" s="10">
        <v>2782300.0</v>
      </c>
      <c r="D13" s="10">
        <v>278230.0</v>
      </c>
      <c r="E13" s="11" t="s">
        <v>57</v>
      </c>
      <c r="F13" s="11" t="s">
        <v>58</v>
      </c>
      <c r="G13" s="12" t="s">
        <v>59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9">
        <v>44950.0</v>
      </c>
      <c r="B14" s="10">
        <v>3060530.0</v>
      </c>
      <c r="C14" s="10">
        <v>2782300.0</v>
      </c>
      <c r="D14" s="10">
        <v>278230.0</v>
      </c>
      <c r="E14" s="11" t="s">
        <v>61</v>
      </c>
      <c r="F14" s="11" t="s">
        <v>62</v>
      </c>
      <c r="G14" s="12" t="s">
        <v>63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9">
        <v>44981.0</v>
      </c>
      <c r="B15" s="10">
        <v>3060530.0</v>
      </c>
      <c r="C15" s="10">
        <v>2782300.0</v>
      </c>
      <c r="D15" s="10">
        <v>278230.0</v>
      </c>
      <c r="E15" s="11" t="s">
        <v>64</v>
      </c>
      <c r="F15" s="11" t="s">
        <v>65</v>
      </c>
      <c r="G15" s="12" t="s">
        <v>66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9">
        <v>45009.0</v>
      </c>
      <c r="B16" s="10">
        <v>3060530.0</v>
      </c>
      <c r="C16" s="10">
        <v>2782300.0</v>
      </c>
      <c r="D16" s="10">
        <v>278230.0</v>
      </c>
      <c r="E16" s="11" t="s">
        <v>67</v>
      </c>
      <c r="F16" s="11" t="s">
        <v>68</v>
      </c>
      <c r="G16" s="12" t="s">
        <v>69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9">
        <v>45040.0</v>
      </c>
      <c r="B17" s="10">
        <v>3060530.0</v>
      </c>
      <c r="C17" s="10">
        <v>2782300.0</v>
      </c>
      <c r="D17" s="10">
        <v>278230.0</v>
      </c>
      <c r="E17" s="11" t="s">
        <v>70</v>
      </c>
      <c r="F17" s="11" t="s">
        <v>71</v>
      </c>
      <c r="G17" s="12" t="s">
        <v>72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9">
        <v>45070.0</v>
      </c>
      <c r="B18" s="10">
        <v>3060530.0</v>
      </c>
      <c r="C18" s="10">
        <v>2782300.0</v>
      </c>
      <c r="D18" s="10">
        <v>278230.0</v>
      </c>
      <c r="E18" s="11" t="s">
        <v>73</v>
      </c>
      <c r="F18" s="11" t="s">
        <v>74</v>
      </c>
      <c r="G18" s="12" t="s">
        <v>75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9">
        <v>45101.0</v>
      </c>
      <c r="B19" s="10">
        <v>3060530.0</v>
      </c>
      <c r="C19" s="10">
        <v>2782300.0</v>
      </c>
      <c r="D19" s="10">
        <v>278230.0</v>
      </c>
      <c r="E19" s="11" t="s">
        <v>76</v>
      </c>
      <c r="F19" s="11" t="s">
        <v>77</v>
      </c>
      <c r="G19" s="12" t="s">
        <v>78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9">
        <v>45131.0</v>
      </c>
      <c r="B20" s="10">
        <v>3060530.0</v>
      </c>
      <c r="C20" s="10">
        <v>2782300.0</v>
      </c>
      <c r="D20" s="10">
        <v>278230.0</v>
      </c>
      <c r="E20" s="11" t="s">
        <v>79</v>
      </c>
      <c r="F20" s="11" t="s">
        <v>80</v>
      </c>
      <c r="G20" s="12" t="s">
        <v>81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9">
        <v>45162.0</v>
      </c>
      <c r="B21" s="10">
        <v>3060530.0</v>
      </c>
      <c r="C21" s="10">
        <v>2782300.0</v>
      </c>
      <c r="D21" s="10">
        <v>278230.0</v>
      </c>
      <c r="E21" s="11" t="s">
        <v>82</v>
      </c>
      <c r="F21" s="11" t="s">
        <v>83</v>
      </c>
      <c r="G21" s="12" t="s">
        <v>84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9">
        <v>45193.0</v>
      </c>
      <c r="B22" s="10">
        <v>3060530.0</v>
      </c>
      <c r="C22" s="10">
        <v>2782300.0</v>
      </c>
      <c r="D22" s="10">
        <v>278230.0</v>
      </c>
      <c r="E22" s="11" t="s">
        <v>85</v>
      </c>
      <c r="F22" s="11" t="s">
        <v>86</v>
      </c>
      <c r="G22" s="12" t="s">
        <v>87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9">
        <v>45223.0</v>
      </c>
      <c r="B23" s="10">
        <v>3060530.0</v>
      </c>
      <c r="C23" s="10">
        <v>2782300.0</v>
      </c>
      <c r="D23" s="10">
        <v>278230.0</v>
      </c>
      <c r="E23" s="11" t="s">
        <v>88</v>
      </c>
      <c r="F23" s="11" t="s">
        <v>89</v>
      </c>
      <c r="G23" s="12" t="s">
        <v>90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9">
        <v>45254.0</v>
      </c>
      <c r="B24" s="10">
        <v>3060530.0</v>
      </c>
      <c r="C24" s="10">
        <v>2782300.0</v>
      </c>
      <c r="D24" s="10">
        <v>278230.0</v>
      </c>
      <c r="E24" s="11" t="s">
        <v>91</v>
      </c>
      <c r="F24" s="11" t="s">
        <v>92</v>
      </c>
      <c r="G24" s="12" t="s">
        <v>93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9">
        <v>45284.0</v>
      </c>
      <c r="B25" s="10">
        <v>3060530.0</v>
      </c>
      <c r="C25" s="10">
        <v>2782300.0</v>
      </c>
      <c r="D25" s="10">
        <v>278230.0</v>
      </c>
      <c r="E25" s="11" t="s">
        <v>94</v>
      </c>
      <c r="F25" s="11" t="s">
        <v>95</v>
      </c>
      <c r="G25" s="12" t="s">
        <v>96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9">
        <v>45315.0</v>
      </c>
      <c r="B26" s="10">
        <v>3060530.0</v>
      </c>
      <c r="C26" s="10">
        <v>2782300.0</v>
      </c>
      <c r="D26" s="10">
        <v>278230.0</v>
      </c>
      <c r="E26" s="11" t="s">
        <v>97</v>
      </c>
      <c r="F26" s="11" t="s">
        <v>98</v>
      </c>
      <c r="G26" s="12" t="s">
        <v>99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9">
        <v>45346.0</v>
      </c>
      <c r="B27" s="10">
        <v>3060530.0</v>
      </c>
      <c r="C27" s="10">
        <v>2782300.0</v>
      </c>
      <c r="D27" s="10">
        <v>278230.0</v>
      </c>
      <c r="E27" s="11" t="s">
        <v>100</v>
      </c>
      <c r="F27" s="11" t="s">
        <v>101</v>
      </c>
      <c r="G27" s="12" t="s">
        <v>102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9">
        <v>45375.0</v>
      </c>
      <c r="B28" s="10">
        <v>3060530.0</v>
      </c>
      <c r="C28" s="10">
        <v>2782300.0</v>
      </c>
      <c r="D28" s="10">
        <v>278230.0</v>
      </c>
      <c r="E28" s="11" t="s">
        <v>103</v>
      </c>
      <c r="F28" s="11" t="s">
        <v>104</v>
      </c>
      <c r="G28" s="12" t="s">
        <v>105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9">
        <v>45406.0</v>
      </c>
      <c r="B29" s="10">
        <v>3060530.0</v>
      </c>
      <c r="C29" s="10">
        <v>2782300.0</v>
      </c>
      <c r="D29" s="10">
        <v>278230.0</v>
      </c>
      <c r="E29" s="11" t="s">
        <v>107</v>
      </c>
      <c r="F29" s="11" t="s">
        <v>108</v>
      </c>
      <c r="G29" s="12" t="s">
        <v>109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9">
        <v>45436.0</v>
      </c>
      <c r="B30" s="10">
        <v>3060530.0</v>
      </c>
      <c r="C30" s="10">
        <v>2782300.0</v>
      </c>
      <c r="D30" s="10">
        <v>278230.0</v>
      </c>
      <c r="E30" s="11" t="s">
        <v>110</v>
      </c>
      <c r="F30" s="11" t="s">
        <v>111</v>
      </c>
      <c r="G30" s="12" t="s">
        <v>112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9">
        <v>45467.0</v>
      </c>
      <c r="B31" s="10">
        <v>3060530.0</v>
      </c>
      <c r="C31" s="10">
        <v>2782300.0</v>
      </c>
      <c r="D31" s="10">
        <v>278230.0</v>
      </c>
      <c r="E31" s="11" t="s">
        <v>113</v>
      </c>
      <c r="F31" s="11" t="s">
        <v>114</v>
      </c>
      <c r="G31" s="12" t="s">
        <v>115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9">
        <v>45497.0</v>
      </c>
      <c r="B32" s="10">
        <v>3060530.0</v>
      </c>
      <c r="C32" s="10">
        <v>2782300.0</v>
      </c>
      <c r="D32" s="10">
        <v>278230.0</v>
      </c>
      <c r="E32" s="11" t="s">
        <v>116</v>
      </c>
      <c r="F32" s="11" t="s">
        <v>117</v>
      </c>
      <c r="G32" s="12" t="s">
        <v>118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9">
        <v>45528.0</v>
      </c>
      <c r="B33" s="10">
        <v>3060530.0</v>
      </c>
      <c r="C33" s="10">
        <v>2782300.0</v>
      </c>
      <c r="D33" s="10">
        <v>278230.0</v>
      </c>
      <c r="E33" s="11" t="s">
        <v>119</v>
      </c>
      <c r="F33" s="11" t="s">
        <v>120</v>
      </c>
      <c r="G33" s="12" t="s">
        <v>121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9">
        <v>45559.0</v>
      </c>
      <c r="B34" s="10">
        <v>3060530.0</v>
      </c>
      <c r="C34" s="10">
        <v>2782300.0</v>
      </c>
      <c r="D34" s="10">
        <v>278230.0</v>
      </c>
      <c r="E34" s="11" t="s">
        <v>122</v>
      </c>
      <c r="F34" s="11" t="s">
        <v>123</v>
      </c>
      <c r="G34" s="12" t="s">
        <v>124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9">
        <v>45589.0</v>
      </c>
      <c r="B35" s="10">
        <v>3060530.0</v>
      </c>
      <c r="C35" s="10">
        <v>2782300.0</v>
      </c>
      <c r="D35" s="10">
        <v>278230.0</v>
      </c>
      <c r="E35" s="11" t="s">
        <v>125</v>
      </c>
      <c r="F35" s="11" t="s">
        <v>126</v>
      </c>
      <c r="G35" s="12" t="s">
        <v>127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9">
        <v>45620.0</v>
      </c>
      <c r="B36" s="10">
        <v>3060530.0</v>
      </c>
      <c r="C36" s="10">
        <v>2782300.0</v>
      </c>
      <c r="D36" s="10">
        <v>278230.0</v>
      </c>
      <c r="E36" s="11" t="s">
        <v>128</v>
      </c>
      <c r="F36" s="11" t="s">
        <v>129</v>
      </c>
      <c r="G36" s="12" t="s">
        <v>130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9">
        <v>45650.0</v>
      </c>
      <c r="B37" s="10">
        <v>3060530.0</v>
      </c>
      <c r="C37" s="10">
        <v>2782300.0</v>
      </c>
      <c r="D37" s="10">
        <v>278230.0</v>
      </c>
      <c r="E37" s="11" t="s">
        <v>131</v>
      </c>
      <c r="F37" s="11" t="s">
        <v>132</v>
      </c>
      <c r="G37" s="12" t="s">
        <v>133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9">
        <v>45681.0</v>
      </c>
      <c r="B38" s="10">
        <v>3060530.0</v>
      </c>
      <c r="C38" s="10">
        <v>2782300.0</v>
      </c>
      <c r="D38" s="10">
        <v>278230.0</v>
      </c>
      <c r="E38" s="11" t="s">
        <v>134</v>
      </c>
      <c r="F38" s="11" t="s">
        <v>135</v>
      </c>
      <c r="G38" s="12" t="s">
        <v>136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9">
        <v>45712.0</v>
      </c>
      <c r="B39" s="10">
        <v>3060530.0</v>
      </c>
      <c r="C39" s="10">
        <v>2782300.0</v>
      </c>
      <c r="D39" s="10">
        <v>278230.0</v>
      </c>
      <c r="E39" s="11" t="s">
        <v>137</v>
      </c>
      <c r="F39" s="11" t="s">
        <v>138</v>
      </c>
      <c r="G39" s="12" t="s">
        <v>139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9">
        <v>45740.0</v>
      </c>
      <c r="B40" s="10">
        <v>3060530.0</v>
      </c>
      <c r="C40" s="10">
        <v>2782300.0</v>
      </c>
      <c r="D40" s="10">
        <v>278230.0</v>
      </c>
      <c r="E40" s="11" t="s">
        <v>140</v>
      </c>
      <c r="F40" s="11" t="s">
        <v>141</v>
      </c>
      <c r="G40" s="12" t="s">
        <v>142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9">
        <v>45771.0</v>
      </c>
      <c r="B41" s="10">
        <v>3060530.0</v>
      </c>
      <c r="C41" s="10">
        <v>2782300.0</v>
      </c>
      <c r="D41" s="10">
        <v>278230.0</v>
      </c>
      <c r="E41" s="11" t="s">
        <v>143</v>
      </c>
      <c r="F41" s="11" t="s">
        <v>144</v>
      </c>
      <c r="G41" s="12" t="s">
        <v>145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9">
        <v>45801.0</v>
      </c>
      <c r="B42" s="10">
        <v>3060530.0</v>
      </c>
      <c r="C42" s="10">
        <v>2782300.0</v>
      </c>
      <c r="D42" s="10">
        <v>278230.0</v>
      </c>
      <c r="E42" s="11" t="s">
        <v>146</v>
      </c>
      <c r="F42" s="11" t="s">
        <v>147</v>
      </c>
      <c r="G42" s="12" t="s">
        <v>148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9">
        <v>45832.0</v>
      </c>
      <c r="B43" s="10">
        <v>3060530.0</v>
      </c>
      <c r="C43" s="10">
        <v>2782300.0</v>
      </c>
      <c r="D43" s="10">
        <v>278230.0</v>
      </c>
      <c r="E43" s="11" t="s">
        <v>149</v>
      </c>
      <c r="F43" s="11" t="s">
        <v>150</v>
      </c>
      <c r="G43" s="12" t="s">
        <v>151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9">
        <v>45862.0</v>
      </c>
      <c r="B44" s="10">
        <v>3060530.0</v>
      </c>
      <c r="C44" s="10">
        <v>2782300.0</v>
      </c>
      <c r="D44" s="10">
        <v>278230.0</v>
      </c>
      <c r="E44" s="11" t="s">
        <v>152</v>
      </c>
      <c r="F44" s="11" t="s">
        <v>153</v>
      </c>
      <c r="G44" s="12" t="s">
        <v>154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9">
        <v>45893.0</v>
      </c>
      <c r="B45" s="10">
        <v>3060530.0</v>
      </c>
      <c r="C45" s="10">
        <v>2782300.0</v>
      </c>
      <c r="D45" s="10">
        <v>278230.0</v>
      </c>
      <c r="E45" s="11" t="s">
        <v>155</v>
      </c>
      <c r="F45" s="11" t="s">
        <v>156</v>
      </c>
      <c r="G45" s="12" t="s">
        <v>157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9">
        <v>45924.0</v>
      </c>
      <c r="B46" s="10">
        <v>3060530.0</v>
      </c>
      <c r="C46" s="10">
        <v>2782300.0</v>
      </c>
      <c r="D46" s="10">
        <v>278230.0</v>
      </c>
      <c r="E46" s="11" t="s">
        <v>158</v>
      </c>
      <c r="F46" s="11" t="s">
        <v>159</v>
      </c>
      <c r="G46" s="12" t="s">
        <v>160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9">
        <v>45954.0</v>
      </c>
      <c r="B47" s="10">
        <v>3060530.0</v>
      </c>
      <c r="C47" s="10">
        <v>2782300.0</v>
      </c>
      <c r="D47" s="10">
        <v>278230.0</v>
      </c>
      <c r="E47" s="11" t="s">
        <v>161</v>
      </c>
      <c r="F47" s="11" t="s">
        <v>162</v>
      </c>
      <c r="G47" s="12" t="s">
        <v>163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9">
        <v>45985.0</v>
      </c>
      <c r="B48" s="10">
        <v>3060530.0</v>
      </c>
      <c r="C48" s="10">
        <v>2782300.0</v>
      </c>
      <c r="D48" s="10">
        <v>278230.0</v>
      </c>
      <c r="E48" s="11" t="s">
        <v>164</v>
      </c>
      <c r="F48" s="11" t="s">
        <v>165</v>
      </c>
      <c r="G48" s="12" t="s">
        <v>166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9">
        <v>46015.0</v>
      </c>
      <c r="B49" s="10">
        <v>3060530.0</v>
      </c>
      <c r="C49" s="10">
        <v>2782300.0</v>
      </c>
      <c r="D49" s="10">
        <v>278230.0</v>
      </c>
      <c r="E49" s="11" t="s">
        <v>167</v>
      </c>
      <c r="F49" s="11" t="s">
        <v>168</v>
      </c>
      <c r="G49" s="12" t="s">
        <v>169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9">
        <v>46046.0</v>
      </c>
      <c r="B50" s="10">
        <v>3060530.0</v>
      </c>
      <c r="C50" s="10">
        <v>2782300.0</v>
      </c>
      <c r="D50" s="10">
        <v>278230.0</v>
      </c>
      <c r="E50" s="11" t="s">
        <v>170</v>
      </c>
      <c r="F50" s="11" t="s">
        <v>171</v>
      </c>
      <c r="G50" s="12" t="s">
        <v>172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9">
        <v>46077.0</v>
      </c>
      <c r="B51" s="10">
        <v>3060530.0</v>
      </c>
      <c r="C51" s="10">
        <v>2782300.0</v>
      </c>
      <c r="D51" s="10">
        <v>278230.0</v>
      </c>
      <c r="E51" s="11" t="s">
        <v>173</v>
      </c>
      <c r="F51" s="11" t="s">
        <v>174</v>
      </c>
      <c r="G51" s="12" t="s">
        <v>175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9">
        <v>46105.0</v>
      </c>
      <c r="B52" s="10">
        <v>3060530.0</v>
      </c>
      <c r="C52" s="10">
        <v>2782300.0</v>
      </c>
      <c r="D52" s="10">
        <v>278230.0</v>
      </c>
      <c r="E52" s="11" t="s">
        <v>176</v>
      </c>
      <c r="F52" s="11" t="s">
        <v>177</v>
      </c>
      <c r="G52" s="12" t="s">
        <v>178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9">
        <v>46136.0</v>
      </c>
      <c r="B53" s="10">
        <v>3060530.0</v>
      </c>
      <c r="C53" s="10">
        <v>2782300.0</v>
      </c>
      <c r="D53" s="10">
        <v>278230.0</v>
      </c>
      <c r="E53" s="11" t="s">
        <v>179</v>
      </c>
      <c r="F53" s="11" t="s">
        <v>180</v>
      </c>
      <c r="G53" s="12" t="s">
        <v>181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9">
        <v>46166.0</v>
      </c>
      <c r="B54" s="10">
        <v>3060530.0</v>
      </c>
      <c r="C54" s="10">
        <v>2782300.0</v>
      </c>
      <c r="D54" s="10">
        <v>278230.0</v>
      </c>
      <c r="E54" s="11" t="s">
        <v>182</v>
      </c>
      <c r="F54" s="11" t="s">
        <v>183</v>
      </c>
      <c r="G54" s="12" t="s">
        <v>184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9">
        <v>46197.0</v>
      </c>
      <c r="B55" s="10">
        <v>3060530.0</v>
      </c>
      <c r="C55" s="10">
        <v>2782300.0</v>
      </c>
      <c r="D55" s="10">
        <v>278230.0</v>
      </c>
      <c r="E55" s="11" t="s">
        <v>185</v>
      </c>
      <c r="F55" s="11" t="s">
        <v>186</v>
      </c>
      <c r="G55" s="12" t="s">
        <v>187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9">
        <v>46227.0</v>
      </c>
      <c r="B56" s="10">
        <v>3060530.0</v>
      </c>
      <c r="C56" s="10">
        <v>2782300.0</v>
      </c>
      <c r="D56" s="10">
        <v>278230.0</v>
      </c>
      <c r="E56" s="11" t="s">
        <v>188</v>
      </c>
      <c r="F56" s="11" t="s">
        <v>189</v>
      </c>
      <c r="G56" s="12" t="s">
        <v>190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9">
        <v>46258.0</v>
      </c>
      <c r="B57" s="10">
        <v>3060530.0</v>
      </c>
      <c r="C57" s="10">
        <v>2782300.0</v>
      </c>
      <c r="D57" s="10">
        <v>278230.0</v>
      </c>
      <c r="E57" s="11" t="s">
        <v>191</v>
      </c>
      <c r="F57" s="11" t="s">
        <v>192</v>
      </c>
      <c r="G57" s="12" t="s">
        <v>193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9">
        <v>46289.0</v>
      </c>
      <c r="B58" s="10">
        <v>3060530.0</v>
      </c>
      <c r="C58" s="10">
        <v>2782300.0</v>
      </c>
      <c r="D58" s="10">
        <v>278230.0</v>
      </c>
      <c r="E58" s="11" t="s">
        <v>194</v>
      </c>
      <c r="F58" s="11" t="s">
        <v>195</v>
      </c>
      <c r="G58" s="12" t="s">
        <v>196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1:$G$58"/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75"/>
    <col customWidth="1" min="2" max="2" width="7.88"/>
    <col customWidth="1" min="3" max="3" width="11.38"/>
    <col customWidth="1" min="4" max="4" width="7.63"/>
    <col customWidth="1" min="5" max="5" width="12.13"/>
    <col customWidth="1" min="6" max="6" width="4.75"/>
    <col customWidth="1" min="7" max="7" width="4.63"/>
    <col customWidth="1" min="8" max="9" width="9.0"/>
    <col customWidth="1" min="10" max="10" width="10.0"/>
    <col customWidth="1" min="11" max="11" width="7.63"/>
    <col customWidth="1" min="12" max="13" width="11.38"/>
    <col customWidth="1" min="14" max="26" width="7.63"/>
  </cols>
  <sheetData>
    <row r="1" ht="16.5" customHeight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3" t="s">
        <v>15</v>
      </c>
    </row>
    <row r="2" ht="16.5" customHeight="1">
      <c r="A2" s="4">
        <v>44651.0</v>
      </c>
      <c r="B2" s="6">
        <v>0.5513888888888889</v>
      </c>
      <c r="C2" s="1" t="s">
        <v>20</v>
      </c>
      <c r="E2" s="1" t="s">
        <v>21</v>
      </c>
      <c r="F2" s="1" t="s">
        <v>22</v>
      </c>
      <c r="G2" s="7">
        <v>0.0</v>
      </c>
      <c r="H2" s="7">
        <v>3061030.0</v>
      </c>
      <c r="I2" s="7">
        <f t="shared" ref="I2:I51" si="1">H2-500</f>
        <v>3060530</v>
      </c>
      <c r="J2" s="7">
        <v>1.612811E7</v>
      </c>
      <c r="K2" s="1" t="s">
        <v>26</v>
      </c>
      <c r="L2" s="1" t="s">
        <v>28</v>
      </c>
      <c r="M2" s="3"/>
    </row>
    <row r="3" ht="16.5" customHeight="1">
      <c r="A3" s="4">
        <v>44683.0</v>
      </c>
      <c r="B3" s="6">
        <v>0.49583333333333335</v>
      </c>
      <c r="C3" s="1" t="s">
        <v>21</v>
      </c>
      <c r="E3" s="1" t="s">
        <v>21</v>
      </c>
      <c r="F3" s="1" t="s">
        <v>22</v>
      </c>
      <c r="G3" s="7">
        <v>0.0</v>
      </c>
      <c r="H3" s="7">
        <v>1.49894E7</v>
      </c>
      <c r="I3" s="7">
        <f t="shared" si="1"/>
        <v>14988900</v>
      </c>
      <c r="J3" s="7">
        <v>2.3216778E7</v>
      </c>
      <c r="K3" s="1" t="s">
        <v>26</v>
      </c>
      <c r="L3" s="1" t="s">
        <v>28</v>
      </c>
      <c r="M3" s="3"/>
    </row>
    <row r="4" ht="16.5" customHeight="1">
      <c r="A4" s="4">
        <v>44683.0</v>
      </c>
      <c r="B4" s="6">
        <v>0.49583333333333335</v>
      </c>
      <c r="C4" s="1" t="s">
        <v>21</v>
      </c>
      <c r="E4" s="1" t="s">
        <v>21</v>
      </c>
      <c r="F4" s="1" t="s">
        <v>22</v>
      </c>
      <c r="G4" s="7">
        <v>0.0</v>
      </c>
      <c r="H4" s="7">
        <v>3061030.0</v>
      </c>
      <c r="I4" s="7">
        <f t="shared" si="1"/>
        <v>3060530</v>
      </c>
      <c r="J4" s="7">
        <v>3.8206178E7</v>
      </c>
      <c r="K4" s="1" t="s">
        <v>26</v>
      </c>
      <c r="L4" s="1" t="s">
        <v>28</v>
      </c>
      <c r="M4" s="3"/>
    </row>
    <row r="5" ht="16.5" customHeight="1">
      <c r="A5" s="4">
        <v>44713.0</v>
      </c>
      <c r="B5" s="6">
        <v>0.6368055555555555</v>
      </c>
      <c r="C5" s="1" t="s">
        <v>21</v>
      </c>
      <c r="E5" s="1" t="s">
        <v>21</v>
      </c>
      <c r="F5" s="1" t="s">
        <v>22</v>
      </c>
      <c r="G5" s="7">
        <v>0.0</v>
      </c>
      <c r="H5" s="7">
        <v>3061030.0</v>
      </c>
      <c r="I5" s="7">
        <f t="shared" si="1"/>
        <v>3060530</v>
      </c>
      <c r="J5" s="7">
        <v>57998.0</v>
      </c>
      <c r="K5" s="1" t="s">
        <v>26</v>
      </c>
      <c r="L5" s="1" t="s">
        <v>28</v>
      </c>
      <c r="M5" s="3"/>
    </row>
    <row r="6" ht="16.5" customHeight="1">
      <c r="A6" s="4">
        <v>44742.0</v>
      </c>
      <c r="B6" s="6">
        <v>0.5916666666666667</v>
      </c>
      <c r="C6" s="1" t="s">
        <v>21</v>
      </c>
      <c r="E6" s="1" t="s">
        <v>21</v>
      </c>
      <c r="F6" s="1" t="s">
        <v>22</v>
      </c>
      <c r="G6" s="7">
        <v>0.0</v>
      </c>
      <c r="H6" s="7">
        <v>3061030.0</v>
      </c>
      <c r="I6" s="7">
        <f t="shared" si="1"/>
        <v>3060530</v>
      </c>
      <c r="J6" s="7">
        <v>3950070.0</v>
      </c>
      <c r="K6" s="1" t="s">
        <v>26</v>
      </c>
      <c r="L6" s="1" t="s">
        <v>28</v>
      </c>
      <c r="M6" s="3"/>
    </row>
    <row r="7" ht="16.5" customHeight="1">
      <c r="A7" s="4">
        <v>44773.0</v>
      </c>
      <c r="B7" s="6">
        <v>0.5881944444444445</v>
      </c>
      <c r="C7" s="1" t="s">
        <v>21</v>
      </c>
      <c r="E7" s="1" t="s">
        <v>21</v>
      </c>
      <c r="F7" s="1" t="s">
        <v>22</v>
      </c>
      <c r="G7" s="7">
        <v>0.0</v>
      </c>
      <c r="H7" s="7">
        <v>3061530.0</v>
      </c>
      <c r="I7" s="7">
        <f t="shared" si="1"/>
        <v>3061030</v>
      </c>
      <c r="J7" s="7">
        <v>1324138.0</v>
      </c>
      <c r="K7" s="1" t="s">
        <v>26</v>
      </c>
      <c r="L7" s="1" t="s">
        <v>28</v>
      </c>
      <c r="M7" s="3"/>
    </row>
    <row r="8" ht="16.5" customHeight="1">
      <c r="A8" s="4">
        <v>44803.0</v>
      </c>
      <c r="B8" s="6">
        <v>0.44930555555555557</v>
      </c>
      <c r="C8" s="1" t="s">
        <v>21</v>
      </c>
      <c r="E8" s="1" t="s">
        <v>21</v>
      </c>
      <c r="F8" s="1" t="s">
        <v>22</v>
      </c>
      <c r="G8" s="7">
        <v>0.0</v>
      </c>
      <c r="H8" s="7">
        <v>3061030.0</v>
      </c>
      <c r="I8" s="7">
        <f t="shared" si="1"/>
        <v>3060530</v>
      </c>
      <c r="J8" s="7">
        <v>9494358.0</v>
      </c>
      <c r="K8" s="1" t="s">
        <v>26</v>
      </c>
      <c r="L8" s="1" t="s">
        <v>28</v>
      </c>
      <c r="M8" s="3"/>
    </row>
    <row r="9" ht="16.5" customHeight="1">
      <c r="A9" s="4">
        <v>44834.0</v>
      </c>
      <c r="B9" s="6">
        <v>0.5055555555555555</v>
      </c>
      <c r="C9" s="1" t="s">
        <v>21</v>
      </c>
      <c r="E9" s="1" t="s">
        <v>21</v>
      </c>
      <c r="F9" s="1" t="s">
        <v>22</v>
      </c>
      <c r="G9" s="7">
        <v>0.0</v>
      </c>
      <c r="H9" s="7">
        <v>3061030.0</v>
      </c>
      <c r="I9" s="7">
        <f t="shared" si="1"/>
        <v>3060530</v>
      </c>
      <c r="J9" s="7">
        <v>47036.0</v>
      </c>
      <c r="K9" s="1" t="s">
        <v>26</v>
      </c>
      <c r="L9" s="1" t="s">
        <v>28</v>
      </c>
      <c r="M9" s="3"/>
    </row>
    <row r="10" ht="16.5" customHeight="1">
      <c r="A10" s="4">
        <v>44865.0</v>
      </c>
      <c r="B10" s="6">
        <v>0.5652777777777778</v>
      </c>
      <c r="C10" s="1" t="s">
        <v>21</v>
      </c>
      <c r="E10" s="1" t="s">
        <v>21</v>
      </c>
      <c r="F10" s="1" t="s">
        <v>22</v>
      </c>
      <c r="G10" s="7">
        <v>0.0</v>
      </c>
      <c r="H10" s="7">
        <v>3061030.0</v>
      </c>
      <c r="I10" s="7">
        <f t="shared" si="1"/>
        <v>3060530</v>
      </c>
      <c r="J10" s="7">
        <v>1097645.0</v>
      </c>
      <c r="K10" s="1" t="s">
        <v>26</v>
      </c>
      <c r="L10" s="1" t="s">
        <v>28</v>
      </c>
      <c r="M10" s="3"/>
    </row>
    <row r="11" ht="16.5" customHeight="1">
      <c r="A11" s="4">
        <v>44894.0</v>
      </c>
      <c r="B11" s="6">
        <v>0.46944444444444444</v>
      </c>
      <c r="C11" s="1" t="s">
        <v>21</v>
      </c>
      <c r="E11" s="1" t="s">
        <v>21</v>
      </c>
      <c r="F11" s="1" t="s">
        <v>22</v>
      </c>
      <c r="G11" s="7">
        <v>0.0</v>
      </c>
      <c r="H11" s="7">
        <v>3061030.0</v>
      </c>
      <c r="I11" s="7">
        <f t="shared" si="1"/>
        <v>3060530</v>
      </c>
      <c r="J11" s="7">
        <v>2.2436185E7</v>
      </c>
      <c r="K11" s="1" t="s">
        <v>26</v>
      </c>
      <c r="L11" s="1" t="s">
        <v>28</v>
      </c>
      <c r="M11" s="3"/>
    </row>
    <row r="12" ht="16.5" customHeight="1">
      <c r="A12" s="4">
        <v>44936.0</v>
      </c>
      <c r="B12" s="6">
        <v>0.7020833333333333</v>
      </c>
      <c r="C12" s="1" t="s">
        <v>21</v>
      </c>
      <c r="E12" s="1" t="s">
        <v>21</v>
      </c>
      <c r="F12" s="1" t="s">
        <v>22</v>
      </c>
      <c r="G12" s="7">
        <v>0.0</v>
      </c>
      <c r="H12" s="7">
        <v>3061030.0</v>
      </c>
      <c r="I12" s="7">
        <f t="shared" si="1"/>
        <v>3060530</v>
      </c>
      <c r="J12" s="7">
        <v>1.3279532E7</v>
      </c>
      <c r="K12" s="1" t="s">
        <v>26</v>
      </c>
      <c r="L12" s="1" t="s">
        <v>28</v>
      </c>
      <c r="M12" s="3"/>
    </row>
    <row r="13" ht="16.5" customHeight="1">
      <c r="A13" s="4">
        <v>44957.0</v>
      </c>
      <c r="B13" s="6">
        <v>0.6333333333333333</v>
      </c>
      <c r="C13" s="1" t="s">
        <v>21</v>
      </c>
      <c r="E13" s="1" t="s">
        <v>21</v>
      </c>
      <c r="F13" s="1" t="s">
        <v>22</v>
      </c>
      <c r="G13" s="7">
        <v>0.0</v>
      </c>
      <c r="H13" s="7">
        <v>3061030.0</v>
      </c>
      <c r="I13" s="7">
        <f t="shared" si="1"/>
        <v>3060530</v>
      </c>
      <c r="J13" s="7">
        <v>1.8185684E7</v>
      </c>
      <c r="K13" s="1" t="s">
        <v>26</v>
      </c>
      <c r="L13" s="1" t="s">
        <v>28</v>
      </c>
      <c r="M13" s="3"/>
    </row>
    <row r="14" ht="16.5" customHeight="1">
      <c r="A14" s="4">
        <v>44985.0</v>
      </c>
      <c r="B14" s="6">
        <v>0.71875</v>
      </c>
      <c r="C14" s="1" t="s">
        <v>21</v>
      </c>
      <c r="E14" s="1" t="s">
        <v>21</v>
      </c>
      <c r="F14" s="1" t="s">
        <v>22</v>
      </c>
      <c r="G14" s="7">
        <v>0.0</v>
      </c>
      <c r="H14" s="7">
        <v>3060530.0</v>
      </c>
      <c r="I14" s="7">
        <f t="shared" si="1"/>
        <v>3060030</v>
      </c>
      <c r="J14" s="7">
        <v>1.6375299E7</v>
      </c>
      <c r="K14" s="1" t="s">
        <v>26</v>
      </c>
      <c r="L14" s="1" t="s">
        <v>28</v>
      </c>
      <c r="M14" s="3"/>
    </row>
    <row r="15" ht="16.5" customHeight="1">
      <c r="A15" s="4">
        <v>44985.0</v>
      </c>
      <c r="B15" s="6">
        <v>0.7215277777777778</v>
      </c>
      <c r="C15" s="1" t="s">
        <v>21</v>
      </c>
      <c r="E15" s="1" t="s">
        <v>21</v>
      </c>
      <c r="F15" s="1" t="s">
        <v>22</v>
      </c>
      <c r="G15" s="7">
        <v>0.0</v>
      </c>
      <c r="H15" s="7">
        <v>1000.0</v>
      </c>
      <c r="I15" s="7">
        <f t="shared" si="1"/>
        <v>500</v>
      </c>
      <c r="J15" s="7">
        <v>1.5713799E7</v>
      </c>
      <c r="K15" s="1" t="s">
        <v>26</v>
      </c>
      <c r="L15" s="1" t="s">
        <v>28</v>
      </c>
      <c r="M15" s="3" t="s">
        <v>60</v>
      </c>
    </row>
    <row r="16" ht="16.5" customHeight="1">
      <c r="A16" s="4">
        <v>45016.0</v>
      </c>
      <c r="B16" s="6">
        <v>0.7736111111111111</v>
      </c>
      <c r="C16" s="1" t="s">
        <v>21</v>
      </c>
      <c r="E16" s="1" t="s">
        <v>21</v>
      </c>
      <c r="F16" s="1" t="s">
        <v>22</v>
      </c>
      <c r="G16" s="7">
        <v>0.0</v>
      </c>
      <c r="H16" s="7">
        <v>3061030.0</v>
      </c>
      <c r="I16" s="7">
        <f t="shared" si="1"/>
        <v>3060530</v>
      </c>
      <c r="J16" s="7">
        <v>1.1703889E7</v>
      </c>
      <c r="K16" s="1" t="s">
        <v>26</v>
      </c>
      <c r="L16" s="1" t="s">
        <v>28</v>
      </c>
      <c r="M16" s="3"/>
    </row>
    <row r="17" ht="16.5" customHeight="1">
      <c r="A17" s="4">
        <v>45044.0</v>
      </c>
      <c r="B17" s="6">
        <v>0.8340277777777778</v>
      </c>
      <c r="C17" s="1" t="s">
        <v>21</v>
      </c>
      <c r="E17" s="1" t="s">
        <v>21</v>
      </c>
      <c r="F17" s="1" t="s">
        <v>22</v>
      </c>
      <c r="G17" s="7">
        <v>0.0</v>
      </c>
      <c r="H17" s="7">
        <v>3061030.0</v>
      </c>
      <c r="I17" s="7">
        <f t="shared" si="1"/>
        <v>3060530</v>
      </c>
      <c r="J17" s="7">
        <v>2.3555209E7</v>
      </c>
      <c r="K17" s="1" t="s">
        <v>26</v>
      </c>
      <c r="L17" s="1" t="s">
        <v>28</v>
      </c>
      <c r="M17" s="3"/>
    </row>
    <row r="18" ht="16.5" customHeight="1">
      <c r="A18" s="4">
        <v>45075.0</v>
      </c>
      <c r="B18" s="6">
        <v>0.47291666666666665</v>
      </c>
      <c r="C18" s="1" t="s">
        <v>21</v>
      </c>
      <c r="E18" s="1" t="s">
        <v>21</v>
      </c>
      <c r="F18" s="1" t="s">
        <v>22</v>
      </c>
      <c r="G18" s="7">
        <v>0.0</v>
      </c>
      <c r="H18" s="7">
        <v>3061030.0</v>
      </c>
      <c r="I18" s="7">
        <f t="shared" si="1"/>
        <v>3060530</v>
      </c>
      <c r="J18" s="7">
        <v>2.0895578E7</v>
      </c>
      <c r="K18" s="1" t="s">
        <v>26</v>
      </c>
      <c r="L18" s="1" t="s">
        <v>28</v>
      </c>
      <c r="M18" s="3"/>
    </row>
    <row r="19" ht="16.5" customHeight="1">
      <c r="A19" s="4">
        <v>45105.0</v>
      </c>
      <c r="B19" s="6">
        <v>0.5416666666666666</v>
      </c>
      <c r="C19" s="1" t="s">
        <v>21</v>
      </c>
      <c r="E19" s="1" t="s">
        <v>21</v>
      </c>
      <c r="F19" s="1" t="s">
        <v>22</v>
      </c>
      <c r="G19" s="7">
        <v>0.0</v>
      </c>
      <c r="H19" s="7">
        <v>3061030.0</v>
      </c>
      <c r="I19" s="7">
        <f t="shared" si="1"/>
        <v>3060530</v>
      </c>
      <c r="J19" s="7">
        <v>1.0474394E7</v>
      </c>
      <c r="K19" s="1" t="s">
        <v>26</v>
      </c>
      <c r="L19" s="1" t="s">
        <v>28</v>
      </c>
      <c r="M19" s="3"/>
    </row>
    <row r="20" ht="16.5" customHeight="1">
      <c r="A20" s="4">
        <v>45138.0</v>
      </c>
      <c r="B20" s="6">
        <v>0.8486111111111111</v>
      </c>
      <c r="C20" s="1" t="s">
        <v>21</v>
      </c>
      <c r="E20" s="1" t="s">
        <v>21</v>
      </c>
      <c r="F20" s="1" t="s">
        <v>22</v>
      </c>
      <c r="G20" s="7">
        <v>0.0</v>
      </c>
      <c r="H20" s="7">
        <v>3061030.0</v>
      </c>
      <c r="I20" s="7">
        <f t="shared" si="1"/>
        <v>3060530</v>
      </c>
      <c r="J20" s="7">
        <v>2.0087309E7</v>
      </c>
      <c r="K20" s="1" t="s">
        <v>26</v>
      </c>
      <c r="L20" s="1" t="s">
        <v>28</v>
      </c>
      <c r="M20" s="3"/>
    </row>
    <row r="21" ht="16.5" customHeight="1">
      <c r="A21" s="4">
        <v>45169.0</v>
      </c>
      <c r="B21" s="6">
        <v>0.49166666666666664</v>
      </c>
      <c r="C21" s="1" t="s">
        <v>21</v>
      </c>
      <c r="E21" s="1" t="s">
        <v>21</v>
      </c>
      <c r="F21" s="1" t="s">
        <v>22</v>
      </c>
      <c r="G21" s="7">
        <v>0.0</v>
      </c>
      <c r="H21" s="7">
        <v>3061030.0</v>
      </c>
      <c r="I21" s="7">
        <f t="shared" si="1"/>
        <v>3060530</v>
      </c>
      <c r="J21" s="7">
        <v>2.5001962E7</v>
      </c>
      <c r="K21" s="1" t="s">
        <v>26</v>
      </c>
      <c r="L21" s="1" t="s">
        <v>28</v>
      </c>
      <c r="M21" s="3"/>
    </row>
    <row r="22" ht="16.5" customHeight="1">
      <c r="A22" s="4">
        <v>45184.0</v>
      </c>
      <c r="B22" s="6">
        <v>0.4444444444444444</v>
      </c>
      <c r="C22" s="1" t="s">
        <v>21</v>
      </c>
      <c r="E22" s="1" t="s">
        <v>21</v>
      </c>
      <c r="F22" s="1" t="s">
        <v>22</v>
      </c>
      <c r="G22" s="7">
        <v>0.0</v>
      </c>
      <c r="H22" s="7">
        <v>1210.0</v>
      </c>
      <c r="I22" s="7">
        <f t="shared" si="1"/>
        <v>710</v>
      </c>
      <c r="J22" s="7">
        <v>2.4998952E7</v>
      </c>
      <c r="K22" s="1" t="s">
        <v>26</v>
      </c>
      <c r="L22" s="1" t="s">
        <v>28</v>
      </c>
      <c r="M22" s="3" t="s">
        <v>60</v>
      </c>
    </row>
    <row r="23" ht="16.5" customHeight="1">
      <c r="A23" s="4">
        <v>45190.0</v>
      </c>
      <c r="B23" s="6">
        <v>0.5625</v>
      </c>
      <c r="C23" s="1" t="s">
        <v>21</v>
      </c>
      <c r="E23" s="1" t="s">
        <v>21</v>
      </c>
      <c r="F23" s="1" t="s">
        <v>22</v>
      </c>
      <c r="G23" s="7">
        <v>0.0</v>
      </c>
      <c r="H23" s="7">
        <v>3061030.0</v>
      </c>
      <c r="I23" s="7">
        <f t="shared" si="1"/>
        <v>3060530</v>
      </c>
      <c r="J23" s="7">
        <v>1.3179364E7</v>
      </c>
      <c r="K23" s="1" t="s">
        <v>26</v>
      </c>
      <c r="L23" s="1" t="s">
        <v>28</v>
      </c>
      <c r="M23" s="3"/>
    </row>
    <row r="24" ht="16.5" customHeight="1">
      <c r="A24" s="4">
        <v>45230.0</v>
      </c>
      <c r="B24" s="6">
        <v>0.9027777777777778</v>
      </c>
      <c r="C24" s="1" t="s">
        <v>21</v>
      </c>
      <c r="E24" s="1" t="s">
        <v>21</v>
      </c>
      <c r="F24" s="1" t="s">
        <v>22</v>
      </c>
      <c r="G24" s="7">
        <v>0.0</v>
      </c>
      <c r="H24" s="7">
        <v>3061030.0</v>
      </c>
      <c r="I24" s="7">
        <f t="shared" si="1"/>
        <v>3060530</v>
      </c>
      <c r="J24" s="7">
        <v>2.0334708E7</v>
      </c>
      <c r="K24" s="1" t="s">
        <v>26</v>
      </c>
      <c r="L24" s="1" t="s">
        <v>28</v>
      </c>
      <c r="M24" s="3"/>
    </row>
    <row r="25" ht="16.5" customHeight="1">
      <c r="A25" s="4">
        <v>45258.0</v>
      </c>
      <c r="B25" s="6">
        <v>0.6784722222222223</v>
      </c>
      <c r="C25" s="1" t="s">
        <v>21</v>
      </c>
      <c r="E25" s="1" t="s">
        <v>21</v>
      </c>
      <c r="F25" s="1" t="s">
        <v>22</v>
      </c>
      <c r="G25" s="7">
        <v>0.0</v>
      </c>
      <c r="H25" s="7">
        <v>3061030.0</v>
      </c>
      <c r="I25" s="7">
        <f t="shared" si="1"/>
        <v>3060530</v>
      </c>
      <c r="J25" s="7">
        <v>1.4083338E7</v>
      </c>
      <c r="K25" s="1" t="s">
        <v>26</v>
      </c>
      <c r="L25" s="1" t="s">
        <v>28</v>
      </c>
      <c r="M25" s="3"/>
    </row>
    <row r="26" ht="16.5" customHeight="1">
      <c r="A26" s="4">
        <v>45290.0</v>
      </c>
      <c r="B26" s="6">
        <v>0.5854166666666667</v>
      </c>
      <c r="C26" s="1" t="s">
        <v>21</v>
      </c>
      <c r="E26" s="1" t="s">
        <v>21</v>
      </c>
      <c r="F26" s="1" t="s">
        <v>22</v>
      </c>
      <c r="G26" s="7">
        <v>0.0</v>
      </c>
      <c r="H26" s="7">
        <v>3061030.0</v>
      </c>
      <c r="I26" s="7">
        <f t="shared" si="1"/>
        <v>3060530</v>
      </c>
      <c r="J26" s="7">
        <v>8613658.0</v>
      </c>
      <c r="K26" s="1" t="s">
        <v>26</v>
      </c>
      <c r="L26" s="1" t="s">
        <v>28</v>
      </c>
      <c r="M26" s="3"/>
    </row>
    <row r="27" ht="16.5" customHeight="1">
      <c r="A27" s="4">
        <v>45322.0</v>
      </c>
      <c r="B27" s="6">
        <v>0.9166666666666666</v>
      </c>
      <c r="C27" s="1" t="s">
        <v>21</v>
      </c>
      <c r="E27" s="1" t="s">
        <v>21</v>
      </c>
      <c r="F27" s="1" t="s">
        <v>22</v>
      </c>
      <c r="G27" s="7">
        <v>0.0</v>
      </c>
      <c r="H27" s="7">
        <v>3061030.0</v>
      </c>
      <c r="I27" s="7">
        <f t="shared" si="1"/>
        <v>3060530</v>
      </c>
      <c r="J27" s="7">
        <v>3251883.0</v>
      </c>
      <c r="K27" s="1" t="s">
        <v>26</v>
      </c>
      <c r="L27" s="1" t="s">
        <v>28</v>
      </c>
      <c r="M27" s="3"/>
    </row>
    <row r="28" ht="16.5" customHeight="1">
      <c r="A28" s="4">
        <v>45383.0</v>
      </c>
      <c r="B28" s="6">
        <v>0.5368055555555555</v>
      </c>
      <c r="C28" s="1" t="s">
        <v>21</v>
      </c>
      <c r="E28" s="1" t="s">
        <v>21</v>
      </c>
      <c r="F28" s="1" t="s">
        <v>22</v>
      </c>
      <c r="G28" s="7">
        <v>0.0</v>
      </c>
      <c r="H28" s="7">
        <v>3061030.0</v>
      </c>
      <c r="I28" s="7">
        <f t="shared" si="1"/>
        <v>3060530</v>
      </c>
      <c r="J28" s="7">
        <v>1.7625161E7</v>
      </c>
      <c r="K28" s="1" t="s">
        <v>26</v>
      </c>
      <c r="L28" s="1" t="s">
        <v>28</v>
      </c>
      <c r="M28" s="13">
        <v>45385.0</v>
      </c>
    </row>
    <row r="29" ht="16.5" customHeight="1">
      <c r="A29" s="4">
        <v>45385.0</v>
      </c>
      <c r="B29" s="6">
        <v>0.5381944444444444</v>
      </c>
      <c r="C29" s="1" t="s">
        <v>21</v>
      </c>
      <c r="E29" s="1" t="s">
        <v>21</v>
      </c>
      <c r="F29" s="1" t="s">
        <v>22</v>
      </c>
      <c r="G29" s="7">
        <v>0.0</v>
      </c>
      <c r="H29" s="7">
        <v>3061030.0</v>
      </c>
      <c r="I29" s="7">
        <f t="shared" si="1"/>
        <v>3060530</v>
      </c>
      <c r="J29" s="7">
        <v>1.4564131E7</v>
      </c>
      <c r="K29" s="1" t="s">
        <v>26</v>
      </c>
      <c r="L29" s="1" t="s">
        <v>28</v>
      </c>
      <c r="M29" s="4"/>
    </row>
    <row r="30" ht="16.5" customHeight="1">
      <c r="A30" s="4">
        <v>45422.0</v>
      </c>
      <c r="B30" s="6">
        <v>0.6486111111111111</v>
      </c>
      <c r="C30" s="1" t="s">
        <v>21</v>
      </c>
      <c r="E30" s="1" t="s">
        <v>21</v>
      </c>
      <c r="F30" s="1" t="s">
        <v>22</v>
      </c>
      <c r="G30" s="7">
        <v>0.0</v>
      </c>
      <c r="H30" s="7">
        <v>3061030.0</v>
      </c>
      <c r="I30" s="7">
        <f t="shared" si="1"/>
        <v>3060530</v>
      </c>
      <c r="J30" s="7">
        <v>5.11773879E8</v>
      </c>
      <c r="K30" s="1" t="s">
        <v>26</v>
      </c>
      <c r="L30" s="1" t="s">
        <v>28</v>
      </c>
      <c r="M30" s="3"/>
    </row>
    <row r="31" ht="16.5" customHeight="1">
      <c r="A31" s="4">
        <v>45443.0</v>
      </c>
      <c r="B31" s="6">
        <v>0.5354166666666667</v>
      </c>
      <c r="C31" s="1" t="s">
        <v>21</v>
      </c>
      <c r="E31" s="1" t="s">
        <v>21</v>
      </c>
      <c r="F31" s="1" t="s">
        <v>22</v>
      </c>
      <c r="G31" s="7">
        <v>0.0</v>
      </c>
      <c r="H31" s="7">
        <v>3061030.0</v>
      </c>
      <c r="I31" s="7">
        <f t="shared" si="1"/>
        <v>3060530</v>
      </c>
      <c r="J31" s="7">
        <v>4.51817335E8</v>
      </c>
      <c r="K31" s="1" t="s">
        <v>26</v>
      </c>
      <c r="L31" s="1" t="s">
        <v>28</v>
      </c>
      <c r="M31" s="3"/>
    </row>
    <row r="32" ht="16.5" customHeight="1">
      <c r="A32" s="4">
        <v>45475.0</v>
      </c>
      <c r="B32" s="6">
        <v>0.6930555555555555</v>
      </c>
      <c r="C32" s="1" t="s">
        <v>21</v>
      </c>
      <c r="E32" s="1" t="s">
        <v>21</v>
      </c>
      <c r="F32" s="1" t="s">
        <v>22</v>
      </c>
      <c r="G32" s="7">
        <v>0.0</v>
      </c>
      <c r="H32" s="7">
        <v>3061030.0</v>
      </c>
      <c r="I32" s="7">
        <f t="shared" si="1"/>
        <v>3060530</v>
      </c>
      <c r="J32" s="7">
        <v>3.15466913E8</v>
      </c>
      <c r="K32" s="1" t="s">
        <v>26</v>
      </c>
      <c r="L32" s="1" t="s">
        <v>28</v>
      </c>
      <c r="M32" s="3"/>
    </row>
    <row r="33" ht="16.5" customHeight="1">
      <c r="A33" s="4">
        <v>45539.0</v>
      </c>
      <c r="B33" s="6">
        <v>0.43333333333333335</v>
      </c>
      <c r="C33" s="1" t="s">
        <v>21</v>
      </c>
      <c r="E33" s="1" t="s">
        <v>21</v>
      </c>
      <c r="F33" s="1" t="s">
        <v>22</v>
      </c>
      <c r="G33" s="7">
        <v>0.0</v>
      </c>
      <c r="H33" s="7">
        <v>3061000.0</v>
      </c>
      <c r="I33" s="7">
        <f t="shared" si="1"/>
        <v>3060500</v>
      </c>
      <c r="J33" s="7">
        <v>7.0600224E7</v>
      </c>
      <c r="K33" s="1" t="s">
        <v>26</v>
      </c>
      <c r="L33" s="1" t="s">
        <v>28</v>
      </c>
      <c r="M33" s="3"/>
    </row>
    <row r="34" ht="16.5" customHeight="1">
      <c r="A34" s="4">
        <v>45565.0</v>
      </c>
      <c r="B34" s="6">
        <v>0.38333333333333336</v>
      </c>
      <c r="C34" s="1" t="s">
        <v>21</v>
      </c>
      <c r="E34" s="1" t="s">
        <v>21</v>
      </c>
      <c r="F34" s="1" t="s">
        <v>22</v>
      </c>
      <c r="G34" s="7">
        <v>0.0</v>
      </c>
      <c r="H34" s="7">
        <v>3061000.0</v>
      </c>
      <c r="I34" s="7">
        <f t="shared" si="1"/>
        <v>3060500</v>
      </c>
      <c r="J34" s="7">
        <v>3.37687016E8</v>
      </c>
      <c r="K34" s="1" t="s">
        <v>26</v>
      </c>
      <c r="L34" s="1" t="s">
        <v>28</v>
      </c>
      <c r="M34" s="3"/>
    </row>
    <row r="35" ht="16.5" customHeight="1">
      <c r="A35" s="4">
        <v>45597.0</v>
      </c>
      <c r="B35" s="14">
        <v>0.4342476851851852</v>
      </c>
      <c r="C35" s="1" t="s">
        <v>21</v>
      </c>
      <c r="E35" s="1" t="s">
        <v>21</v>
      </c>
      <c r="G35" s="7"/>
      <c r="H35" s="7">
        <v>3061030.0</v>
      </c>
      <c r="I35" s="7">
        <f t="shared" si="1"/>
        <v>3060530</v>
      </c>
      <c r="J35" s="7">
        <v>2.0082898E7</v>
      </c>
      <c r="K35" s="1" t="s">
        <v>26</v>
      </c>
      <c r="L35" s="1" t="s">
        <v>106</v>
      </c>
      <c r="M35" s="3"/>
    </row>
    <row r="36" ht="16.5" customHeight="1">
      <c r="A36" s="4">
        <v>45625.0</v>
      </c>
      <c r="B36" s="14">
        <v>0.5443171296296296</v>
      </c>
      <c r="C36" s="1" t="s">
        <v>21</v>
      </c>
      <c r="E36" s="1" t="s">
        <v>21</v>
      </c>
      <c r="G36" s="7"/>
      <c r="H36" s="7">
        <v>3061030.0</v>
      </c>
      <c r="I36" s="7">
        <f t="shared" si="1"/>
        <v>3060530</v>
      </c>
      <c r="J36" s="7">
        <v>1.6663872E7</v>
      </c>
      <c r="K36" s="1" t="s">
        <v>26</v>
      </c>
      <c r="L36" s="1" t="s">
        <v>106</v>
      </c>
      <c r="M36" s="3"/>
    </row>
    <row r="37" ht="16.5" customHeight="1">
      <c r="A37" s="4">
        <v>45653.0</v>
      </c>
      <c r="B37" s="14">
        <v>0.486875</v>
      </c>
      <c r="C37" s="1" t="s">
        <v>21</v>
      </c>
      <c r="E37" s="1" t="s">
        <v>21</v>
      </c>
      <c r="G37" s="7"/>
      <c r="H37" s="7">
        <v>3061030.0</v>
      </c>
      <c r="I37" s="7">
        <f t="shared" si="1"/>
        <v>3060530</v>
      </c>
      <c r="J37" s="7">
        <v>927692.0</v>
      </c>
      <c r="K37" s="1" t="s">
        <v>26</v>
      </c>
      <c r="L37" s="1" t="s">
        <v>106</v>
      </c>
      <c r="M37" s="3"/>
    </row>
    <row r="38" ht="16.5" customHeight="1">
      <c r="A38" s="4">
        <v>45688.0</v>
      </c>
      <c r="B38" s="14">
        <v>0.4258564814814815</v>
      </c>
      <c r="C38" s="1" t="s">
        <v>21</v>
      </c>
      <c r="E38" s="1" t="s">
        <v>21</v>
      </c>
      <c r="G38" s="7"/>
      <c r="H38" s="7">
        <v>3061030.0</v>
      </c>
      <c r="I38" s="7">
        <f t="shared" si="1"/>
        <v>3060530</v>
      </c>
      <c r="J38" s="7">
        <v>2.1812319E7</v>
      </c>
      <c r="K38" s="1" t="s">
        <v>26</v>
      </c>
      <c r="L38" s="1" t="s">
        <v>106</v>
      </c>
      <c r="M38" s="3"/>
    </row>
    <row r="39" ht="16.5" customHeight="1">
      <c r="A39" s="4">
        <v>45716.0</v>
      </c>
      <c r="B39" s="14">
        <v>0.6988773148148149</v>
      </c>
      <c r="C39" s="1" t="s">
        <v>21</v>
      </c>
      <c r="E39" s="1" t="s">
        <v>21</v>
      </c>
      <c r="G39" s="7"/>
      <c r="H39" s="7">
        <v>3061030.0</v>
      </c>
      <c r="I39" s="7">
        <f t="shared" si="1"/>
        <v>3060530</v>
      </c>
      <c r="J39" s="7">
        <v>4.4566731E7</v>
      </c>
      <c r="K39" s="1" t="s">
        <v>26</v>
      </c>
      <c r="L39" s="1" t="s">
        <v>106</v>
      </c>
      <c r="M39" s="3"/>
    </row>
    <row r="40" ht="16.5" customHeight="1">
      <c r="A40" s="4">
        <v>45748.0</v>
      </c>
      <c r="B40" s="14">
        <v>0.4619212962962963</v>
      </c>
      <c r="C40" s="1" t="s">
        <v>21</v>
      </c>
      <c r="E40" s="1" t="s">
        <v>21</v>
      </c>
      <c r="G40" s="7"/>
      <c r="H40" s="7">
        <v>3065600.0</v>
      </c>
      <c r="I40" s="7">
        <f t="shared" si="1"/>
        <v>3065100</v>
      </c>
      <c r="J40" s="7">
        <v>5462353.0</v>
      </c>
      <c r="K40" s="1" t="s">
        <v>26</v>
      </c>
      <c r="L40" s="1" t="s">
        <v>106</v>
      </c>
      <c r="M40" s="3"/>
    </row>
    <row r="41" ht="16.5" customHeight="1">
      <c r="A41" s="4">
        <v>45784.0</v>
      </c>
      <c r="B41" s="14">
        <v>0.3935763888888889</v>
      </c>
      <c r="C41" s="1" t="s">
        <v>21</v>
      </c>
      <c r="E41" s="1" t="s">
        <v>21</v>
      </c>
      <c r="G41" s="7"/>
      <c r="H41" s="7">
        <v>3061030.0</v>
      </c>
      <c r="I41" s="7">
        <f t="shared" si="1"/>
        <v>3060530</v>
      </c>
      <c r="J41" s="7">
        <v>135447.0</v>
      </c>
      <c r="K41" s="1" t="s">
        <v>26</v>
      </c>
      <c r="L41" s="1" t="s">
        <v>106</v>
      </c>
      <c r="M41" s="3"/>
    </row>
    <row r="42" ht="16.5" customHeight="1">
      <c r="A42" s="4">
        <v>45810.0</v>
      </c>
      <c r="B42" s="14">
        <v>0.6852777777777778</v>
      </c>
      <c r="C42" s="1" t="s">
        <v>21</v>
      </c>
      <c r="E42" s="1" t="s">
        <v>21</v>
      </c>
      <c r="G42" s="7"/>
      <c r="H42" s="7">
        <v>3061030.0</v>
      </c>
      <c r="I42" s="7">
        <f t="shared" si="1"/>
        <v>3060530</v>
      </c>
      <c r="J42" s="7">
        <v>2245365.0</v>
      </c>
      <c r="K42" s="1" t="s">
        <v>26</v>
      </c>
      <c r="L42" s="1" t="s">
        <v>106</v>
      </c>
      <c r="M42" s="3"/>
    </row>
    <row r="43" ht="16.5" customHeight="1">
      <c r="A43" s="4">
        <v>45853.0</v>
      </c>
      <c r="B43" s="14">
        <v>0.6253819444444444</v>
      </c>
      <c r="C43" s="1" t="s">
        <v>21</v>
      </c>
      <c r="E43" s="1" t="s">
        <v>21</v>
      </c>
      <c r="G43" s="7"/>
      <c r="H43" s="7">
        <v>3061030.0</v>
      </c>
      <c r="I43" s="7">
        <f t="shared" si="1"/>
        <v>3060530</v>
      </c>
      <c r="J43" s="7">
        <v>5946788.0</v>
      </c>
      <c r="K43" s="1" t="s">
        <v>26</v>
      </c>
      <c r="L43" s="1" t="s">
        <v>106</v>
      </c>
      <c r="M43" s="3"/>
    </row>
    <row r="44" ht="16.5" customHeight="1">
      <c r="A44" s="4">
        <v>45869.0</v>
      </c>
      <c r="B44" s="14">
        <v>0.8240972222222223</v>
      </c>
      <c r="C44" s="1" t="s">
        <v>21</v>
      </c>
      <c r="E44" s="1" t="s">
        <v>21</v>
      </c>
      <c r="G44" s="7"/>
      <c r="H44" s="7">
        <v>3064030.0</v>
      </c>
      <c r="I44" s="7">
        <f t="shared" si="1"/>
        <v>3063530</v>
      </c>
      <c r="J44" s="7">
        <v>4850107.0</v>
      </c>
      <c r="K44" s="1" t="s">
        <v>26</v>
      </c>
      <c r="L44" s="1" t="s">
        <v>106</v>
      </c>
      <c r="M44" s="3"/>
    </row>
    <row r="45" ht="16.5" customHeight="1">
      <c r="A45" s="4">
        <v>45896.0</v>
      </c>
      <c r="B45" s="14">
        <v>0.6530902777777777</v>
      </c>
      <c r="C45" s="1" t="s">
        <v>21</v>
      </c>
      <c r="E45" s="1" t="s">
        <v>21</v>
      </c>
      <c r="G45" s="7"/>
      <c r="H45" s="7">
        <v>3064030.0</v>
      </c>
      <c r="I45" s="7">
        <f t="shared" si="1"/>
        <v>3063530</v>
      </c>
      <c r="J45" s="7">
        <v>5481560.0</v>
      </c>
      <c r="K45" s="1" t="s">
        <v>26</v>
      </c>
      <c r="L45" s="1" t="s">
        <v>106</v>
      </c>
      <c r="M45" s="3"/>
    </row>
    <row r="46" ht="16.5" customHeight="1">
      <c r="A46" s="4">
        <v>45940.0</v>
      </c>
      <c r="B46" s="14">
        <v>0.6922685185185186</v>
      </c>
      <c r="C46" s="1" t="s">
        <v>21</v>
      </c>
      <c r="E46" s="1" t="s">
        <v>21</v>
      </c>
      <c r="G46" s="7"/>
      <c r="H46" s="7">
        <v>3061030.0</v>
      </c>
      <c r="I46" s="7">
        <f t="shared" si="1"/>
        <v>3060530</v>
      </c>
      <c r="J46" s="7">
        <v>1.3894058E7</v>
      </c>
      <c r="K46" s="1" t="s">
        <v>26</v>
      </c>
      <c r="L46" s="1" t="s">
        <v>106</v>
      </c>
      <c r="M46" s="3"/>
    </row>
    <row r="47" ht="16.5" customHeight="1">
      <c r="A47" s="4">
        <v>45966.0</v>
      </c>
      <c r="B47" s="14">
        <v>0.4326273148148148</v>
      </c>
      <c r="C47" s="1" t="s">
        <v>21</v>
      </c>
      <c r="E47" s="1" t="s">
        <v>21</v>
      </c>
      <c r="G47" s="7"/>
      <c r="H47" s="7">
        <v>3064030.0</v>
      </c>
      <c r="I47" s="7">
        <f t="shared" si="1"/>
        <v>3063530</v>
      </c>
      <c r="J47" s="7">
        <v>6221928.0</v>
      </c>
      <c r="K47" s="1" t="s">
        <v>26</v>
      </c>
      <c r="L47" s="1" t="s">
        <v>106</v>
      </c>
      <c r="M47" s="3"/>
    </row>
    <row r="48" ht="16.5" customHeight="1">
      <c r="A48" s="4">
        <v>45989.0</v>
      </c>
      <c r="B48" s="14">
        <v>0.4553587962962963</v>
      </c>
      <c r="C48" s="1" t="s">
        <v>21</v>
      </c>
      <c r="E48" s="1" t="s">
        <v>21</v>
      </c>
      <c r="G48" s="7"/>
      <c r="H48" s="7">
        <v>3064030.0</v>
      </c>
      <c r="I48" s="7">
        <f t="shared" si="1"/>
        <v>3063530</v>
      </c>
      <c r="J48" s="7">
        <v>3093382.0</v>
      </c>
      <c r="K48" s="1" t="s">
        <v>26</v>
      </c>
      <c r="L48" s="1" t="s">
        <v>106</v>
      </c>
      <c r="M48" s="3"/>
    </row>
    <row r="49" ht="16.5" customHeight="1">
      <c r="A49" s="4">
        <v>46020.0</v>
      </c>
      <c r="B49" s="14">
        <v>0.7106481481481481</v>
      </c>
      <c r="C49" s="1" t="s">
        <v>21</v>
      </c>
      <c r="E49" s="1" t="s">
        <v>21</v>
      </c>
      <c r="G49" s="7"/>
      <c r="H49" s="7">
        <v>3064030.0</v>
      </c>
      <c r="I49" s="7">
        <f t="shared" si="1"/>
        <v>3063530</v>
      </c>
      <c r="J49" s="7">
        <v>1.72868999E8</v>
      </c>
      <c r="K49" s="1" t="s">
        <v>26</v>
      </c>
      <c r="L49" s="1" t="s">
        <v>106</v>
      </c>
      <c r="M49" s="3"/>
    </row>
    <row r="50" ht="16.5" customHeight="1">
      <c r="A50" s="4">
        <v>46052.0</v>
      </c>
      <c r="B50" s="14">
        <v>0.742199074074074</v>
      </c>
      <c r="C50" s="1" t="s">
        <v>21</v>
      </c>
      <c r="E50" s="1" t="s">
        <v>21</v>
      </c>
      <c r="G50" s="7"/>
      <c r="H50" s="7">
        <v>3064030.0</v>
      </c>
      <c r="I50" s="7">
        <f t="shared" si="1"/>
        <v>3063530</v>
      </c>
      <c r="J50" s="7">
        <v>4127682.0</v>
      </c>
      <c r="K50" s="1" t="s">
        <v>26</v>
      </c>
      <c r="L50" s="1" t="s">
        <v>106</v>
      </c>
      <c r="M50" s="3"/>
    </row>
    <row r="51" ht="16.5" customHeight="1">
      <c r="A51" s="4">
        <v>46079.0</v>
      </c>
      <c r="B51" s="14">
        <v>0.5608217592592593</v>
      </c>
      <c r="C51" s="1" t="s">
        <v>21</v>
      </c>
      <c r="E51" s="1" t="s">
        <v>21</v>
      </c>
      <c r="G51" s="7"/>
      <c r="H51" s="7">
        <v>3064030.0</v>
      </c>
      <c r="I51" s="7">
        <f t="shared" si="1"/>
        <v>3063530</v>
      </c>
      <c r="J51" s="7">
        <v>9.4744442E7</v>
      </c>
      <c r="K51" s="1" t="s">
        <v>26</v>
      </c>
      <c r="L51" s="1" t="s">
        <v>106</v>
      </c>
      <c r="M51" s="3"/>
    </row>
    <row r="52" ht="16.5" customHeight="1">
      <c r="A52" s="4">
        <v>46143.0</v>
      </c>
      <c r="B52" s="14">
        <v>0.9499074074074074</v>
      </c>
      <c r="C52" s="1" t="s">
        <v>21</v>
      </c>
      <c r="E52" s="1" t="s">
        <v>21</v>
      </c>
      <c r="G52" s="7"/>
      <c r="H52" s="7">
        <v>3060780.0</v>
      </c>
      <c r="I52" s="7">
        <f t="shared" ref="I52:I53" si="2">H52-500/2</f>
        <v>3060530</v>
      </c>
      <c r="J52" s="7"/>
      <c r="K52" s="1" t="s">
        <v>26</v>
      </c>
      <c r="L52" s="1" t="s">
        <v>106</v>
      </c>
      <c r="M52" s="13">
        <v>46164.0</v>
      </c>
    </row>
    <row r="53" ht="16.5" customHeight="1">
      <c r="A53" s="4">
        <v>46164.0</v>
      </c>
      <c r="B53" s="14">
        <v>0.9499074074074074</v>
      </c>
      <c r="C53" s="1" t="s">
        <v>21</v>
      </c>
      <c r="E53" s="1" t="s">
        <v>21</v>
      </c>
      <c r="G53" s="7"/>
      <c r="H53" s="7">
        <v>3060780.0</v>
      </c>
      <c r="I53" s="7">
        <f t="shared" si="2"/>
        <v>3060530</v>
      </c>
      <c r="J53" s="7">
        <v>2.077566E7</v>
      </c>
      <c r="K53" s="1" t="s">
        <v>26</v>
      </c>
      <c r="L53" s="1" t="s">
        <v>106</v>
      </c>
      <c r="M53" s="3"/>
    </row>
    <row r="54" ht="16.5" customHeight="1">
      <c r="A54" s="4">
        <v>46203.0</v>
      </c>
      <c r="B54" s="14">
        <v>0.5885069444444444</v>
      </c>
      <c r="C54" s="1" t="s">
        <v>21</v>
      </c>
      <c r="E54" s="1" t="s">
        <v>21</v>
      </c>
      <c r="G54" s="7"/>
      <c r="H54" s="7">
        <v>3061030.0</v>
      </c>
      <c r="I54" s="7">
        <f t="shared" ref="I54:I57" si="3">H54-500</f>
        <v>3060530</v>
      </c>
      <c r="J54" s="7">
        <v>4359941.0</v>
      </c>
      <c r="K54" s="1" t="s">
        <v>26</v>
      </c>
      <c r="L54" s="1" t="s">
        <v>106</v>
      </c>
      <c r="M54" s="3"/>
    </row>
    <row r="55" ht="16.5" customHeight="1">
      <c r="A55" s="4">
        <v>46234.0</v>
      </c>
      <c r="B55" s="14">
        <v>0.6747800925925926</v>
      </c>
      <c r="C55" s="1" t="s">
        <v>21</v>
      </c>
      <c r="E55" s="1" t="s">
        <v>21</v>
      </c>
      <c r="G55" s="7"/>
      <c r="H55" s="7">
        <v>3061030.0</v>
      </c>
      <c r="I55" s="7">
        <f t="shared" si="3"/>
        <v>3060530</v>
      </c>
      <c r="J55" s="7">
        <v>3.1993168E7</v>
      </c>
      <c r="K55" s="1" t="s">
        <v>26</v>
      </c>
      <c r="L55" s="1" t="s">
        <v>106</v>
      </c>
      <c r="M55" s="3"/>
    </row>
    <row r="56" ht="16.5" customHeight="1">
      <c r="A56" s="4">
        <v>46265.0</v>
      </c>
      <c r="B56" s="14">
        <v>0.523912037037037</v>
      </c>
      <c r="C56" s="1" t="s">
        <v>21</v>
      </c>
      <c r="E56" s="1" t="s">
        <v>21</v>
      </c>
      <c r="G56" s="7"/>
      <c r="H56" s="7">
        <v>3061030.0</v>
      </c>
      <c r="I56" s="7">
        <f t="shared" si="3"/>
        <v>3060530</v>
      </c>
      <c r="J56" s="7">
        <v>5.5749845E7</v>
      </c>
      <c r="K56" s="1" t="s">
        <v>26</v>
      </c>
      <c r="L56" s="1" t="s">
        <v>106</v>
      </c>
      <c r="M56" s="3"/>
    </row>
    <row r="57" ht="16.5" customHeight="1">
      <c r="A57" s="4">
        <v>46295.0</v>
      </c>
      <c r="B57" s="14">
        <v>0.705775462962963</v>
      </c>
      <c r="C57" s="1" t="s">
        <v>21</v>
      </c>
      <c r="E57" s="1" t="s">
        <v>21</v>
      </c>
      <c r="G57" s="7"/>
      <c r="H57" s="7">
        <v>3061030.0</v>
      </c>
      <c r="I57" s="7">
        <f t="shared" si="3"/>
        <v>3060530</v>
      </c>
      <c r="J57" s="7">
        <v>1.7811257E7</v>
      </c>
      <c r="K57" s="1" t="s">
        <v>26</v>
      </c>
      <c r="L57" s="1" t="s">
        <v>106</v>
      </c>
      <c r="M57" s="3"/>
    </row>
    <row r="58" ht="16.5" customHeight="1">
      <c r="G58" s="7"/>
      <c r="H58" s="7"/>
      <c r="I58" s="7"/>
      <c r="J58" s="7"/>
      <c r="M58" s="3"/>
    </row>
    <row r="59" ht="16.5" customHeight="1">
      <c r="G59" s="7"/>
      <c r="H59" s="7"/>
      <c r="I59" s="7"/>
      <c r="J59" s="7"/>
      <c r="M59" s="3"/>
    </row>
    <row r="60" ht="16.5" customHeight="1">
      <c r="G60" s="7"/>
      <c r="H60" s="7"/>
      <c r="I60" s="7"/>
      <c r="J60" s="7"/>
      <c r="M60" s="3"/>
    </row>
    <row r="61" ht="16.5" customHeight="1">
      <c r="G61" s="7"/>
      <c r="H61" s="7"/>
      <c r="I61" s="7"/>
      <c r="J61" s="7"/>
      <c r="M61" s="3"/>
    </row>
    <row r="62" ht="16.5" customHeight="1">
      <c r="G62" s="7"/>
      <c r="H62" s="7"/>
      <c r="I62" s="7"/>
      <c r="J62" s="7"/>
      <c r="M62" s="3"/>
    </row>
    <row r="63" ht="16.5" customHeight="1">
      <c r="G63" s="7"/>
      <c r="H63" s="7"/>
      <c r="I63" s="7"/>
      <c r="J63" s="7"/>
      <c r="M63" s="3"/>
    </row>
    <row r="64" ht="16.5" customHeight="1">
      <c r="G64" s="7"/>
      <c r="H64" s="7"/>
      <c r="I64" s="7"/>
      <c r="J64" s="7"/>
      <c r="M64" s="3"/>
    </row>
    <row r="65" ht="16.5" customHeight="1">
      <c r="G65" s="7"/>
      <c r="H65" s="7"/>
      <c r="I65" s="7"/>
      <c r="J65" s="7"/>
      <c r="M65" s="3"/>
    </row>
    <row r="66" ht="16.5" customHeight="1">
      <c r="G66" s="7"/>
      <c r="H66" s="7"/>
      <c r="I66" s="7"/>
      <c r="J66" s="7"/>
      <c r="M66" s="3"/>
    </row>
    <row r="67" ht="16.5" customHeight="1">
      <c r="G67" s="7"/>
      <c r="H67" s="7"/>
      <c r="I67" s="7"/>
      <c r="J67" s="7"/>
      <c r="M67" s="3"/>
    </row>
    <row r="68" ht="16.5" customHeight="1">
      <c r="G68" s="7"/>
      <c r="H68" s="7"/>
      <c r="I68" s="7"/>
      <c r="J68" s="7"/>
      <c r="M68" s="3"/>
    </row>
    <row r="69" ht="16.5" customHeight="1">
      <c r="G69" s="7"/>
      <c r="H69" s="7"/>
      <c r="I69" s="7"/>
      <c r="J69" s="7"/>
      <c r="M69" s="3"/>
    </row>
    <row r="70" ht="16.5" customHeight="1">
      <c r="G70" s="7"/>
      <c r="H70" s="7"/>
      <c r="I70" s="7"/>
      <c r="J70" s="7"/>
      <c r="M70" s="3"/>
    </row>
    <row r="71" ht="16.5" customHeight="1">
      <c r="G71" s="7"/>
      <c r="H71" s="7"/>
      <c r="I71" s="7"/>
      <c r="J71" s="7"/>
      <c r="M71" s="3"/>
    </row>
    <row r="72" ht="16.5" customHeight="1">
      <c r="G72" s="7"/>
      <c r="H72" s="7"/>
      <c r="I72" s="7"/>
      <c r="J72" s="7"/>
      <c r="M72" s="3"/>
    </row>
    <row r="73" ht="16.5" customHeight="1">
      <c r="G73" s="7"/>
      <c r="H73" s="7"/>
      <c r="I73" s="7"/>
      <c r="J73" s="7"/>
      <c r="M73" s="3"/>
    </row>
    <row r="74" ht="16.5" customHeight="1">
      <c r="G74" s="7"/>
      <c r="H74" s="7"/>
      <c r="I74" s="7"/>
      <c r="J74" s="7"/>
      <c r="M74" s="3"/>
    </row>
    <row r="75" ht="16.5" customHeight="1">
      <c r="G75" s="7"/>
      <c r="H75" s="7"/>
      <c r="I75" s="7"/>
      <c r="J75" s="7"/>
      <c r="M75" s="3"/>
    </row>
    <row r="76" ht="16.5" customHeight="1">
      <c r="G76" s="7"/>
      <c r="H76" s="7"/>
      <c r="I76" s="7"/>
      <c r="J76" s="7"/>
      <c r="M76" s="3"/>
    </row>
    <row r="77" ht="16.5" customHeight="1">
      <c r="G77" s="7"/>
      <c r="H77" s="7"/>
      <c r="I77" s="7"/>
      <c r="J77" s="7"/>
      <c r="M77" s="3"/>
    </row>
    <row r="78" ht="16.5" customHeight="1">
      <c r="G78" s="7"/>
      <c r="H78" s="7"/>
      <c r="I78" s="7"/>
      <c r="J78" s="7"/>
      <c r="M78" s="3"/>
    </row>
    <row r="79" ht="16.5" customHeight="1">
      <c r="G79" s="7"/>
      <c r="H79" s="7"/>
      <c r="I79" s="7"/>
      <c r="J79" s="7"/>
      <c r="M79" s="3"/>
    </row>
    <row r="80" ht="16.5" customHeight="1">
      <c r="G80" s="7"/>
      <c r="H80" s="7"/>
      <c r="I80" s="7"/>
      <c r="J80" s="7"/>
      <c r="M80" s="3"/>
    </row>
    <row r="81" ht="16.5" customHeight="1">
      <c r="G81" s="7"/>
      <c r="H81" s="7"/>
      <c r="I81" s="7"/>
      <c r="J81" s="7"/>
      <c r="M81" s="3"/>
    </row>
    <row r="82" ht="16.5" customHeight="1">
      <c r="G82" s="7"/>
      <c r="H82" s="7"/>
      <c r="I82" s="7"/>
      <c r="J82" s="7"/>
      <c r="M82" s="3"/>
    </row>
    <row r="83" ht="16.5" customHeight="1">
      <c r="G83" s="7"/>
      <c r="H83" s="7"/>
      <c r="I83" s="7"/>
      <c r="J83" s="7"/>
      <c r="M83" s="3"/>
    </row>
    <row r="84" ht="16.5" customHeight="1">
      <c r="G84" s="7"/>
      <c r="H84" s="7"/>
      <c r="I84" s="7"/>
      <c r="J84" s="7"/>
      <c r="M84" s="3"/>
    </row>
    <row r="85" ht="16.5" customHeight="1">
      <c r="G85" s="7"/>
      <c r="H85" s="7"/>
      <c r="I85" s="7"/>
      <c r="J85" s="7"/>
      <c r="M85" s="3"/>
    </row>
    <row r="86" ht="16.5" customHeight="1">
      <c r="G86" s="7"/>
      <c r="H86" s="7"/>
      <c r="I86" s="7"/>
      <c r="J86" s="7"/>
      <c r="M86" s="3"/>
    </row>
    <row r="87" ht="16.5" customHeight="1">
      <c r="G87" s="7"/>
      <c r="H87" s="7"/>
      <c r="I87" s="7"/>
      <c r="J87" s="7"/>
      <c r="M87" s="3"/>
    </row>
    <row r="88" ht="16.5" customHeight="1">
      <c r="G88" s="7"/>
      <c r="H88" s="7"/>
      <c r="I88" s="7"/>
      <c r="J88" s="7"/>
      <c r="M88" s="3"/>
    </row>
    <row r="89" ht="16.5" customHeight="1">
      <c r="G89" s="7"/>
      <c r="H89" s="7"/>
      <c r="I89" s="7"/>
      <c r="J89" s="7"/>
      <c r="M89" s="3"/>
    </row>
    <row r="90" ht="16.5" customHeight="1">
      <c r="G90" s="7"/>
      <c r="H90" s="7"/>
      <c r="I90" s="7"/>
      <c r="J90" s="7"/>
      <c r="M90" s="3"/>
    </row>
    <row r="91" ht="16.5" customHeight="1">
      <c r="G91" s="7"/>
      <c r="H91" s="7"/>
      <c r="I91" s="7"/>
      <c r="J91" s="7"/>
      <c r="M91" s="3"/>
    </row>
    <row r="92" ht="16.5" customHeight="1">
      <c r="G92" s="7"/>
      <c r="H92" s="7"/>
      <c r="I92" s="7"/>
      <c r="J92" s="7"/>
      <c r="M92" s="3"/>
    </row>
    <row r="93" ht="16.5" customHeight="1">
      <c r="G93" s="7"/>
      <c r="H93" s="7"/>
      <c r="I93" s="7"/>
      <c r="J93" s="7"/>
      <c r="M93" s="3"/>
    </row>
    <row r="94" ht="16.5" customHeight="1">
      <c r="G94" s="7"/>
      <c r="H94" s="7"/>
      <c r="I94" s="7"/>
      <c r="J94" s="7"/>
      <c r="M94" s="3"/>
    </row>
    <row r="95" ht="16.5" customHeight="1">
      <c r="G95" s="7"/>
      <c r="H95" s="7"/>
      <c r="I95" s="7"/>
      <c r="J95" s="7"/>
      <c r="M95" s="3"/>
    </row>
    <row r="96" ht="16.5" customHeight="1">
      <c r="G96" s="7"/>
      <c r="H96" s="7"/>
      <c r="I96" s="7"/>
      <c r="J96" s="7"/>
      <c r="M96" s="3"/>
    </row>
    <row r="97" ht="16.5" customHeight="1">
      <c r="G97" s="7"/>
      <c r="H97" s="7"/>
      <c r="I97" s="7"/>
      <c r="J97" s="7"/>
      <c r="M97" s="3"/>
    </row>
    <row r="98" ht="16.5" customHeight="1">
      <c r="G98" s="7"/>
      <c r="H98" s="7"/>
      <c r="I98" s="7"/>
      <c r="J98" s="7"/>
      <c r="M98" s="3"/>
    </row>
    <row r="99" ht="16.5" customHeight="1">
      <c r="G99" s="7"/>
      <c r="H99" s="7"/>
      <c r="I99" s="7"/>
      <c r="J99" s="7"/>
      <c r="M99" s="3"/>
    </row>
    <row r="100" ht="16.5" customHeight="1">
      <c r="G100" s="7"/>
      <c r="H100" s="7"/>
      <c r="I100" s="7"/>
      <c r="J100" s="7"/>
      <c r="M100" s="3"/>
    </row>
    <row r="101" ht="16.5" customHeight="1">
      <c r="G101" s="7"/>
      <c r="H101" s="7"/>
      <c r="I101" s="7"/>
      <c r="J101" s="7"/>
      <c r="M101" s="3"/>
    </row>
    <row r="102" ht="16.5" customHeight="1">
      <c r="G102" s="7"/>
      <c r="H102" s="7"/>
      <c r="I102" s="7"/>
      <c r="J102" s="7"/>
      <c r="M102" s="3"/>
    </row>
    <row r="103" ht="16.5" customHeight="1">
      <c r="G103" s="7"/>
      <c r="H103" s="7"/>
      <c r="I103" s="7"/>
      <c r="J103" s="7"/>
      <c r="M103" s="3"/>
    </row>
    <row r="104" ht="16.5" customHeight="1">
      <c r="G104" s="7"/>
      <c r="H104" s="7"/>
      <c r="I104" s="7"/>
      <c r="J104" s="7"/>
      <c r="M104" s="3"/>
    </row>
    <row r="105" ht="16.5" customHeight="1">
      <c r="G105" s="7"/>
      <c r="H105" s="7"/>
      <c r="I105" s="7"/>
      <c r="J105" s="7"/>
      <c r="M105" s="3"/>
    </row>
    <row r="106" ht="16.5" customHeight="1">
      <c r="G106" s="7"/>
      <c r="H106" s="7"/>
      <c r="I106" s="7"/>
      <c r="J106" s="7"/>
      <c r="M106" s="3"/>
    </row>
    <row r="107" ht="16.5" customHeight="1">
      <c r="G107" s="7"/>
      <c r="H107" s="7"/>
      <c r="I107" s="7"/>
      <c r="J107" s="7"/>
      <c r="M107" s="3"/>
    </row>
    <row r="108" ht="16.5" customHeight="1">
      <c r="G108" s="7"/>
      <c r="H108" s="7"/>
      <c r="I108" s="7"/>
      <c r="J108" s="7"/>
      <c r="M108" s="3"/>
    </row>
    <row r="109" ht="16.5" customHeight="1">
      <c r="G109" s="7"/>
      <c r="H109" s="7"/>
      <c r="I109" s="7"/>
      <c r="J109" s="7"/>
      <c r="M109" s="3"/>
    </row>
    <row r="110" ht="16.5" customHeight="1">
      <c r="G110" s="7"/>
      <c r="H110" s="7"/>
      <c r="I110" s="7"/>
      <c r="J110" s="7"/>
      <c r="M110" s="3"/>
    </row>
    <row r="111" ht="16.5" customHeight="1">
      <c r="G111" s="7"/>
      <c r="H111" s="7"/>
      <c r="I111" s="7"/>
      <c r="J111" s="7"/>
      <c r="M111" s="3"/>
    </row>
    <row r="112" ht="16.5" customHeight="1">
      <c r="G112" s="7"/>
      <c r="H112" s="7"/>
      <c r="I112" s="7"/>
      <c r="J112" s="7"/>
      <c r="M112" s="3"/>
    </row>
    <row r="113" ht="16.5" customHeight="1">
      <c r="G113" s="7"/>
      <c r="H113" s="7"/>
      <c r="I113" s="7"/>
      <c r="J113" s="7"/>
      <c r="M113" s="3"/>
    </row>
    <row r="114" ht="16.5" customHeight="1">
      <c r="G114" s="7"/>
      <c r="H114" s="7"/>
      <c r="I114" s="7"/>
      <c r="J114" s="7"/>
      <c r="M114" s="3"/>
    </row>
    <row r="115" ht="16.5" customHeight="1">
      <c r="G115" s="7"/>
      <c r="H115" s="7"/>
      <c r="I115" s="7"/>
      <c r="J115" s="7"/>
      <c r="M115" s="3"/>
    </row>
    <row r="116" ht="16.5" customHeight="1">
      <c r="G116" s="7"/>
      <c r="H116" s="7"/>
      <c r="I116" s="7"/>
      <c r="J116" s="7"/>
      <c r="M116" s="3"/>
    </row>
    <row r="117" ht="16.5" customHeight="1">
      <c r="G117" s="7"/>
      <c r="H117" s="7"/>
      <c r="I117" s="7"/>
      <c r="J117" s="7"/>
      <c r="M117" s="3"/>
    </row>
    <row r="118" ht="16.5" customHeight="1">
      <c r="G118" s="7"/>
      <c r="H118" s="7"/>
      <c r="I118" s="7"/>
      <c r="J118" s="7"/>
      <c r="M118" s="3"/>
    </row>
    <row r="119" ht="16.5" customHeight="1">
      <c r="G119" s="7"/>
      <c r="H119" s="7"/>
      <c r="I119" s="7"/>
      <c r="J119" s="7"/>
      <c r="M119" s="3"/>
    </row>
    <row r="120" ht="16.5" customHeight="1">
      <c r="G120" s="7"/>
      <c r="H120" s="7"/>
      <c r="I120" s="7"/>
      <c r="J120" s="7"/>
      <c r="M120" s="3"/>
    </row>
    <row r="121" ht="16.5" customHeight="1">
      <c r="G121" s="7"/>
      <c r="H121" s="7"/>
      <c r="I121" s="7"/>
      <c r="J121" s="7"/>
      <c r="M121" s="3"/>
    </row>
    <row r="122" ht="16.5" customHeight="1">
      <c r="G122" s="7"/>
      <c r="H122" s="7"/>
      <c r="I122" s="7"/>
      <c r="J122" s="7"/>
      <c r="M122" s="3"/>
    </row>
    <row r="123" ht="16.5" customHeight="1">
      <c r="G123" s="7"/>
      <c r="H123" s="7"/>
      <c r="I123" s="7"/>
      <c r="J123" s="7"/>
      <c r="M123" s="3"/>
    </row>
    <row r="124" ht="16.5" customHeight="1">
      <c r="G124" s="7"/>
      <c r="H124" s="7"/>
      <c r="I124" s="7"/>
      <c r="J124" s="7"/>
      <c r="M124" s="3"/>
    </row>
    <row r="125" ht="16.5" customHeight="1">
      <c r="G125" s="7"/>
      <c r="H125" s="7"/>
      <c r="I125" s="7"/>
      <c r="J125" s="7"/>
      <c r="M125" s="3"/>
    </row>
    <row r="126" ht="16.5" customHeight="1">
      <c r="G126" s="7"/>
      <c r="H126" s="7"/>
      <c r="I126" s="7"/>
      <c r="J126" s="7"/>
      <c r="M126" s="3"/>
    </row>
    <row r="127" ht="16.5" customHeight="1">
      <c r="G127" s="7"/>
      <c r="H127" s="7"/>
      <c r="I127" s="7"/>
      <c r="J127" s="7"/>
      <c r="M127" s="3"/>
    </row>
    <row r="128" ht="16.5" customHeight="1">
      <c r="G128" s="7"/>
      <c r="H128" s="7"/>
      <c r="I128" s="7"/>
      <c r="J128" s="7"/>
      <c r="M128" s="3"/>
    </row>
    <row r="129" ht="16.5" customHeight="1">
      <c r="G129" s="7"/>
      <c r="H129" s="7"/>
      <c r="I129" s="7"/>
      <c r="J129" s="7"/>
      <c r="M129" s="3"/>
    </row>
    <row r="130" ht="16.5" customHeight="1">
      <c r="G130" s="7"/>
      <c r="H130" s="7"/>
      <c r="I130" s="7"/>
      <c r="J130" s="7"/>
      <c r="M130" s="3"/>
    </row>
    <row r="131" ht="16.5" customHeight="1">
      <c r="G131" s="7"/>
      <c r="H131" s="7"/>
      <c r="I131" s="7"/>
      <c r="J131" s="7"/>
      <c r="M131" s="3"/>
    </row>
    <row r="132" ht="16.5" customHeight="1">
      <c r="G132" s="7"/>
      <c r="H132" s="7"/>
      <c r="I132" s="7"/>
      <c r="J132" s="7"/>
      <c r="M132" s="3"/>
    </row>
    <row r="133" ht="16.5" customHeight="1">
      <c r="G133" s="7"/>
      <c r="H133" s="7"/>
      <c r="I133" s="7"/>
      <c r="J133" s="7"/>
      <c r="M133" s="3"/>
    </row>
    <row r="134" ht="16.5" customHeight="1">
      <c r="G134" s="7"/>
      <c r="H134" s="7"/>
      <c r="I134" s="7"/>
      <c r="J134" s="7"/>
      <c r="M134" s="3"/>
    </row>
    <row r="135" ht="16.5" customHeight="1">
      <c r="G135" s="7"/>
      <c r="H135" s="7"/>
      <c r="I135" s="7"/>
      <c r="J135" s="7"/>
      <c r="M135" s="3"/>
    </row>
    <row r="136" ht="16.5" customHeight="1">
      <c r="G136" s="7"/>
      <c r="H136" s="7"/>
      <c r="I136" s="7"/>
      <c r="J136" s="7"/>
      <c r="M136" s="3"/>
    </row>
    <row r="137" ht="16.5" customHeight="1">
      <c r="G137" s="7"/>
      <c r="H137" s="7"/>
      <c r="I137" s="7"/>
      <c r="J137" s="7"/>
      <c r="M137" s="3"/>
    </row>
    <row r="138" ht="16.5" customHeight="1">
      <c r="G138" s="7"/>
      <c r="H138" s="7"/>
      <c r="I138" s="7"/>
      <c r="J138" s="7"/>
      <c r="M138" s="3"/>
    </row>
    <row r="139" ht="16.5" customHeight="1">
      <c r="G139" s="7"/>
      <c r="H139" s="7"/>
      <c r="I139" s="7"/>
      <c r="J139" s="7"/>
      <c r="M139" s="3"/>
    </row>
    <row r="140" ht="16.5" customHeight="1">
      <c r="G140" s="7"/>
      <c r="H140" s="7"/>
      <c r="I140" s="7"/>
      <c r="J140" s="7"/>
      <c r="M140" s="3"/>
    </row>
    <row r="141" ht="16.5" customHeight="1">
      <c r="G141" s="7"/>
      <c r="H141" s="7"/>
      <c r="I141" s="7"/>
      <c r="J141" s="7"/>
      <c r="M141" s="3"/>
    </row>
    <row r="142" ht="16.5" customHeight="1">
      <c r="G142" s="7"/>
      <c r="H142" s="7"/>
      <c r="I142" s="7"/>
      <c r="J142" s="7"/>
      <c r="M142" s="3"/>
    </row>
    <row r="143" ht="16.5" customHeight="1">
      <c r="G143" s="7"/>
      <c r="H143" s="7"/>
      <c r="I143" s="7"/>
      <c r="J143" s="7"/>
      <c r="M143" s="3"/>
    </row>
    <row r="144" ht="16.5" customHeight="1">
      <c r="G144" s="7"/>
      <c r="H144" s="7"/>
      <c r="I144" s="7"/>
      <c r="J144" s="7"/>
      <c r="M144" s="3"/>
    </row>
    <row r="145" ht="16.5" customHeight="1">
      <c r="G145" s="7"/>
      <c r="H145" s="7"/>
      <c r="I145" s="7"/>
      <c r="J145" s="7"/>
      <c r="M145" s="3"/>
    </row>
    <row r="146" ht="16.5" customHeight="1">
      <c r="G146" s="7"/>
      <c r="H146" s="7"/>
      <c r="I146" s="7"/>
      <c r="J146" s="7"/>
      <c r="M146" s="3"/>
    </row>
    <row r="147" ht="16.5" customHeight="1">
      <c r="G147" s="7"/>
      <c r="H147" s="7"/>
      <c r="I147" s="7"/>
      <c r="J147" s="7"/>
      <c r="M147" s="3"/>
    </row>
    <row r="148" ht="16.5" customHeight="1">
      <c r="G148" s="7"/>
      <c r="H148" s="7"/>
      <c r="I148" s="7"/>
      <c r="J148" s="7"/>
      <c r="M148" s="3"/>
    </row>
    <row r="149" ht="16.5" customHeight="1">
      <c r="G149" s="7"/>
      <c r="H149" s="7"/>
      <c r="I149" s="7"/>
      <c r="J149" s="7"/>
      <c r="M149" s="3"/>
    </row>
    <row r="150" ht="16.5" customHeight="1">
      <c r="G150" s="7"/>
      <c r="H150" s="7"/>
      <c r="I150" s="7"/>
      <c r="J150" s="7"/>
      <c r="M150" s="3"/>
    </row>
    <row r="151" ht="16.5" customHeight="1">
      <c r="G151" s="7"/>
      <c r="H151" s="7"/>
      <c r="I151" s="7"/>
      <c r="J151" s="7"/>
      <c r="M151" s="3"/>
    </row>
    <row r="152" ht="16.5" customHeight="1">
      <c r="G152" s="7"/>
      <c r="H152" s="7"/>
      <c r="I152" s="7"/>
      <c r="J152" s="7"/>
      <c r="M152" s="3"/>
    </row>
    <row r="153" ht="16.5" customHeight="1">
      <c r="G153" s="7"/>
      <c r="H153" s="7"/>
      <c r="I153" s="7"/>
      <c r="J153" s="7"/>
      <c r="M153" s="3"/>
    </row>
    <row r="154" ht="16.5" customHeight="1">
      <c r="G154" s="7"/>
      <c r="H154" s="7"/>
      <c r="I154" s="7"/>
      <c r="J154" s="7"/>
      <c r="M154" s="3"/>
    </row>
    <row r="155" ht="16.5" customHeight="1">
      <c r="G155" s="7"/>
      <c r="H155" s="7"/>
      <c r="I155" s="7"/>
      <c r="J155" s="7"/>
      <c r="M155" s="3"/>
    </row>
    <row r="156" ht="16.5" customHeight="1">
      <c r="G156" s="7"/>
      <c r="H156" s="7"/>
      <c r="I156" s="7"/>
      <c r="J156" s="7"/>
      <c r="M156" s="3"/>
    </row>
    <row r="157" ht="16.5" customHeight="1">
      <c r="G157" s="7"/>
      <c r="H157" s="7"/>
      <c r="I157" s="7"/>
      <c r="J157" s="7"/>
      <c r="M157" s="3"/>
    </row>
    <row r="158" ht="16.5" customHeight="1">
      <c r="G158" s="7"/>
      <c r="H158" s="7"/>
      <c r="I158" s="7"/>
      <c r="J158" s="7"/>
      <c r="M158" s="3"/>
    </row>
    <row r="159" ht="16.5" customHeight="1">
      <c r="G159" s="7"/>
      <c r="H159" s="7"/>
      <c r="I159" s="7"/>
      <c r="J159" s="7"/>
      <c r="M159" s="3"/>
    </row>
    <row r="160" ht="16.5" customHeight="1">
      <c r="G160" s="7"/>
      <c r="H160" s="7"/>
      <c r="I160" s="7"/>
      <c r="J160" s="7"/>
      <c r="M160" s="3"/>
    </row>
    <row r="161" ht="16.5" customHeight="1">
      <c r="G161" s="7"/>
      <c r="H161" s="7"/>
      <c r="I161" s="7"/>
      <c r="J161" s="7"/>
      <c r="M161" s="3"/>
    </row>
    <row r="162" ht="16.5" customHeight="1">
      <c r="G162" s="7"/>
      <c r="H162" s="7"/>
      <c r="I162" s="7"/>
      <c r="J162" s="7"/>
      <c r="M162" s="3"/>
    </row>
    <row r="163" ht="16.5" customHeight="1">
      <c r="G163" s="7"/>
      <c r="H163" s="7"/>
      <c r="I163" s="7"/>
      <c r="J163" s="7"/>
      <c r="M163" s="3"/>
    </row>
    <row r="164" ht="16.5" customHeight="1">
      <c r="G164" s="7"/>
      <c r="H164" s="7"/>
      <c r="I164" s="7"/>
      <c r="J164" s="7"/>
      <c r="M164" s="3"/>
    </row>
    <row r="165" ht="16.5" customHeight="1">
      <c r="G165" s="7"/>
      <c r="H165" s="7"/>
      <c r="I165" s="7"/>
      <c r="J165" s="7"/>
      <c r="M165" s="3"/>
    </row>
    <row r="166" ht="16.5" customHeight="1">
      <c r="G166" s="7"/>
      <c r="H166" s="7"/>
      <c r="I166" s="7"/>
      <c r="J166" s="7"/>
      <c r="M166" s="3"/>
    </row>
    <row r="167" ht="16.5" customHeight="1">
      <c r="G167" s="7"/>
      <c r="H167" s="7"/>
      <c r="I167" s="7"/>
      <c r="J167" s="7"/>
      <c r="M167" s="3"/>
    </row>
    <row r="168" ht="16.5" customHeight="1">
      <c r="G168" s="7"/>
      <c r="H168" s="7"/>
      <c r="I168" s="7"/>
      <c r="J168" s="7"/>
      <c r="M168" s="3"/>
    </row>
    <row r="169" ht="16.5" customHeight="1">
      <c r="G169" s="7"/>
      <c r="H169" s="7"/>
      <c r="I169" s="7"/>
      <c r="J169" s="7"/>
      <c r="M169" s="3"/>
    </row>
    <row r="170" ht="16.5" customHeight="1">
      <c r="G170" s="7"/>
      <c r="H170" s="7"/>
      <c r="I170" s="7"/>
      <c r="J170" s="7"/>
      <c r="M170" s="3"/>
    </row>
    <row r="171" ht="16.5" customHeight="1">
      <c r="G171" s="7"/>
      <c r="H171" s="7"/>
      <c r="I171" s="7"/>
      <c r="J171" s="7"/>
      <c r="M171" s="3"/>
    </row>
    <row r="172" ht="16.5" customHeight="1">
      <c r="G172" s="7"/>
      <c r="H172" s="7"/>
      <c r="I172" s="7"/>
      <c r="J172" s="7"/>
      <c r="M172" s="3"/>
    </row>
    <row r="173" ht="16.5" customHeight="1">
      <c r="G173" s="7"/>
      <c r="H173" s="7"/>
      <c r="I173" s="7"/>
      <c r="J173" s="7"/>
      <c r="M173" s="3"/>
    </row>
    <row r="174" ht="16.5" customHeight="1">
      <c r="G174" s="7"/>
      <c r="H174" s="7"/>
      <c r="I174" s="7"/>
      <c r="J174" s="7"/>
      <c r="M174" s="3"/>
    </row>
    <row r="175" ht="16.5" customHeight="1">
      <c r="G175" s="7"/>
      <c r="H175" s="7"/>
      <c r="I175" s="7"/>
      <c r="J175" s="7"/>
      <c r="M175" s="3"/>
    </row>
    <row r="176" ht="16.5" customHeight="1">
      <c r="G176" s="7"/>
      <c r="H176" s="7"/>
      <c r="I176" s="7"/>
      <c r="J176" s="7"/>
      <c r="M176" s="3"/>
    </row>
    <row r="177" ht="16.5" customHeight="1">
      <c r="G177" s="7"/>
      <c r="H177" s="7"/>
      <c r="I177" s="7"/>
      <c r="J177" s="7"/>
      <c r="M177" s="3"/>
    </row>
    <row r="178" ht="16.5" customHeight="1">
      <c r="G178" s="7"/>
      <c r="H178" s="7"/>
      <c r="I178" s="7"/>
      <c r="J178" s="7"/>
      <c r="M178" s="3"/>
    </row>
    <row r="179" ht="16.5" customHeight="1">
      <c r="G179" s="7"/>
      <c r="H179" s="7"/>
      <c r="I179" s="7"/>
      <c r="J179" s="7"/>
      <c r="M179" s="3"/>
    </row>
    <row r="180" ht="16.5" customHeight="1">
      <c r="G180" s="7"/>
      <c r="H180" s="7"/>
      <c r="I180" s="7"/>
      <c r="J180" s="7"/>
      <c r="M180" s="3"/>
    </row>
    <row r="181" ht="16.5" customHeight="1">
      <c r="G181" s="7"/>
      <c r="H181" s="7"/>
      <c r="I181" s="7"/>
      <c r="J181" s="7"/>
      <c r="M181" s="3"/>
    </row>
    <row r="182" ht="16.5" customHeight="1">
      <c r="G182" s="7"/>
      <c r="H182" s="7"/>
      <c r="I182" s="7"/>
      <c r="J182" s="7"/>
      <c r="M182" s="3"/>
    </row>
    <row r="183" ht="16.5" customHeight="1">
      <c r="G183" s="7"/>
      <c r="H183" s="7"/>
      <c r="I183" s="7"/>
      <c r="J183" s="7"/>
      <c r="M183" s="3"/>
    </row>
    <row r="184" ht="16.5" customHeight="1">
      <c r="G184" s="7"/>
      <c r="H184" s="7"/>
      <c r="I184" s="7"/>
      <c r="J184" s="7"/>
      <c r="M184" s="3"/>
    </row>
    <row r="185" ht="16.5" customHeight="1">
      <c r="G185" s="7"/>
      <c r="H185" s="7"/>
      <c r="I185" s="7"/>
      <c r="J185" s="7"/>
      <c r="M185" s="3"/>
    </row>
    <row r="186" ht="16.5" customHeight="1">
      <c r="G186" s="7"/>
      <c r="H186" s="7"/>
      <c r="I186" s="7"/>
      <c r="J186" s="7"/>
      <c r="M186" s="3"/>
    </row>
    <row r="187" ht="16.5" customHeight="1">
      <c r="G187" s="7"/>
      <c r="H187" s="7"/>
      <c r="I187" s="7"/>
      <c r="J187" s="7"/>
      <c r="M187" s="3"/>
    </row>
    <row r="188" ht="16.5" customHeight="1">
      <c r="G188" s="7"/>
      <c r="H188" s="7"/>
      <c r="I188" s="7"/>
      <c r="J188" s="7"/>
      <c r="M188" s="3"/>
    </row>
    <row r="189" ht="16.5" customHeight="1">
      <c r="G189" s="7"/>
      <c r="H189" s="7"/>
      <c r="I189" s="7"/>
      <c r="J189" s="7"/>
      <c r="M189" s="3"/>
    </row>
    <row r="190" ht="16.5" customHeight="1">
      <c r="G190" s="7"/>
      <c r="H190" s="7"/>
      <c r="I190" s="7"/>
      <c r="J190" s="7"/>
      <c r="M190" s="3"/>
    </row>
    <row r="191" ht="16.5" customHeight="1">
      <c r="G191" s="7"/>
      <c r="H191" s="7"/>
      <c r="I191" s="7"/>
      <c r="J191" s="7"/>
      <c r="M191" s="3"/>
    </row>
    <row r="192" ht="16.5" customHeight="1">
      <c r="G192" s="7"/>
      <c r="H192" s="7"/>
      <c r="I192" s="7"/>
      <c r="J192" s="7"/>
      <c r="M192" s="3"/>
    </row>
    <row r="193" ht="16.5" customHeight="1">
      <c r="G193" s="7"/>
      <c r="H193" s="7"/>
      <c r="I193" s="7"/>
      <c r="J193" s="7"/>
      <c r="M193" s="3"/>
    </row>
    <row r="194" ht="16.5" customHeight="1">
      <c r="G194" s="7"/>
      <c r="H194" s="7"/>
      <c r="I194" s="7"/>
      <c r="J194" s="7"/>
      <c r="M194" s="3"/>
    </row>
    <row r="195" ht="16.5" customHeight="1">
      <c r="G195" s="7"/>
      <c r="H195" s="7"/>
      <c r="I195" s="7"/>
      <c r="J195" s="7"/>
      <c r="M195" s="3"/>
    </row>
    <row r="196" ht="16.5" customHeight="1">
      <c r="G196" s="7"/>
      <c r="H196" s="7"/>
      <c r="I196" s="7"/>
      <c r="J196" s="7"/>
      <c r="M196" s="3"/>
    </row>
    <row r="197" ht="16.5" customHeight="1">
      <c r="G197" s="7"/>
      <c r="H197" s="7"/>
      <c r="I197" s="7"/>
      <c r="J197" s="7"/>
      <c r="M197" s="3"/>
    </row>
    <row r="198" ht="16.5" customHeight="1">
      <c r="G198" s="7"/>
      <c r="H198" s="7"/>
      <c r="I198" s="7"/>
      <c r="J198" s="7"/>
      <c r="M198" s="3"/>
    </row>
    <row r="199" ht="16.5" customHeight="1">
      <c r="G199" s="7"/>
      <c r="H199" s="7"/>
      <c r="I199" s="7"/>
      <c r="J199" s="7"/>
      <c r="M199" s="3"/>
    </row>
    <row r="200" ht="16.5" customHeight="1">
      <c r="G200" s="7"/>
      <c r="H200" s="7"/>
      <c r="I200" s="7"/>
      <c r="J200" s="7"/>
      <c r="M200" s="3"/>
    </row>
    <row r="201" ht="16.5" customHeight="1">
      <c r="G201" s="7"/>
      <c r="H201" s="7"/>
      <c r="I201" s="7"/>
      <c r="J201" s="7"/>
      <c r="M201" s="3"/>
    </row>
    <row r="202" ht="16.5" customHeight="1">
      <c r="G202" s="7"/>
      <c r="H202" s="7"/>
      <c r="I202" s="7"/>
      <c r="J202" s="7"/>
      <c r="M202" s="3"/>
    </row>
    <row r="203" ht="16.5" customHeight="1">
      <c r="G203" s="7"/>
      <c r="H203" s="7"/>
      <c r="I203" s="7"/>
      <c r="J203" s="7"/>
      <c r="M203" s="3"/>
    </row>
    <row r="204" ht="16.5" customHeight="1">
      <c r="G204" s="7"/>
      <c r="H204" s="7"/>
      <c r="I204" s="7"/>
      <c r="J204" s="7"/>
      <c r="M204" s="3"/>
    </row>
    <row r="205" ht="16.5" customHeight="1">
      <c r="G205" s="7"/>
      <c r="H205" s="7"/>
      <c r="I205" s="7"/>
      <c r="J205" s="7"/>
      <c r="M205" s="3"/>
    </row>
    <row r="206" ht="16.5" customHeight="1">
      <c r="G206" s="7"/>
      <c r="H206" s="7"/>
      <c r="I206" s="7"/>
      <c r="J206" s="7"/>
      <c r="M206" s="3"/>
    </row>
    <row r="207" ht="16.5" customHeight="1">
      <c r="G207" s="7"/>
      <c r="H207" s="7"/>
      <c r="I207" s="7"/>
      <c r="J207" s="7"/>
      <c r="M207" s="3"/>
    </row>
    <row r="208" ht="16.5" customHeight="1">
      <c r="G208" s="7"/>
      <c r="H208" s="7"/>
      <c r="I208" s="7"/>
      <c r="J208" s="7"/>
      <c r="M208" s="3"/>
    </row>
    <row r="209" ht="16.5" customHeight="1">
      <c r="G209" s="7"/>
      <c r="H209" s="7"/>
      <c r="I209" s="7"/>
      <c r="J209" s="7"/>
      <c r="M209" s="3"/>
    </row>
    <row r="210" ht="16.5" customHeight="1">
      <c r="G210" s="7"/>
      <c r="H210" s="7"/>
      <c r="I210" s="7"/>
      <c r="J210" s="7"/>
      <c r="M210" s="3"/>
    </row>
    <row r="211" ht="16.5" customHeight="1">
      <c r="G211" s="7"/>
      <c r="H211" s="7"/>
      <c r="I211" s="7"/>
      <c r="J211" s="7"/>
      <c r="M211" s="3"/>
    </row>
    <row r="212" ht="16.5" customHeight="1">
      <c r="G212" s="7"/>
      <c r="H212" s="7"/>
      <c r="I212" s="7"/>
      <c r="J212" s="7"/>
      <c r="M212" s="3"/>
    </row>
    <row r="213" ht="16.5" customHeight="1">
      <c r="G213" s="7"/>
      <c r="H213" s="7"/>
      <c r="I213" s="7"/>
      <c r="J213" s="7"/>
      <c r="M213" s="3"/>
    </row>
    <row r="214" ht="16.5" customHeight="1">
      <c r="G214" s="7"/>
      <c r="H214" s="7"/>
      <c r="I214" s="7"/>
      <c r="J214" s="7"/>
      <c r="M214" s="3"/>
    </row>
    <row r="215" ht="16.5" customHeight="1">
      <c r="G215" s="7"/>
      <c r="H215" s="7"/>
      <c r="I215" s="7"/>
      <c r="J215" s="7"/>
      <c r="M215" s="3"/>
    </row>
    <row r="216" ht="16.5" customHeight="1">
      <c r="G216" s="7"/>
      <c r="H216" s="7"/>
      <c r="I216" s="7"/>
      <c r="J216" s="7"/>
      <c r="M216" s="3"/>
    </row>
    <row r="217" ht="16.5" customHeight="1">
      <c r="G217" s="7"/>
      <c r="H217" s="7"/>
      <c r="I217" s="7"/>
      <c r="J217" s="7"/>
      <c r="M217" s="3"/>
    </row>
    <row r="218" ht="16.5" customHeight="1">
      <c r="G218" s="7"/>
      <c r="H218" s="7"/>
      <c r="I218" s="7"/>
      <c r="J218" s="7"/>
      <c r="M218" s="3"/>
    </row>
    <row r="219" ht="16.5" customHeight="1">
      <c r="G219" s="7"/>
      <c r="H219" s="7"/>
      <c r="I219" s="7"/>
      <c r="J219" s="7"/>
      <c r="M219" s="3"/>
    </row>
    <row r="220" ht="16.5" customHeight="1">
      <c r="G220" s="7"/>
      <c r="H220" s="7"/>
      <c r="I220" s="7"/>
      <c r="J220" s="7"/>
      <c r="M220" s="3"/>
    </row>
    <row r="221" ht="16.5" customHeight="1">
      <c r="G221" s="7"/>
      <c r="H221" s="7"/>
      <c r="I221" s="7"/>
      <c r="J221" s="7"/>
      <c r="M221" s="3"/>
    </row>
    <row r="222" ht="16.5" customHeight="1">
      <c r="G222" s="7"/>
      <c r="H222" s="7"/>
      <c r="I222" s="7"/>
      <c r="J222" s="7"/>
      <c r="M222" s="3"/>
    </row>
    <row r="223" ht="16.5" customHeight="1">
      <c r="G223" s="7"/>
      <c r="H223" s="7"/>
      <c r="I223" s="7"/>
      <c r="J223" s="7"/>
      <c r="M223" s="3"/>
    </row>
    <row r="224" ht="16.5" customHeight="1">
      <c r="G224" s="7"/>
      <c r="H224" s="7"/>
      <c r="I224" s="7"/>
      <c r="J224" s="7"/>
      <c r="M224" s="3"/>
    </row>
    <row r="225" ht="16.5" customHeight="1">
      <c r="G225" s="7"/>
      <c r="H225" s="7"/>
      <c r="I225" s="7"/>
      <c r="J225" s="7"/>
      <c r="M225" s="3"/>
    </row>
    <row r="226" ht="16.5" customHeight="1">
      <c r="G226" s="7"/>
      <c r="H226" s="7"/>
      <c r="I226" s="7"/>
      <c r="J226" s="7"/>
      <c r="M226" s="3"/>
    </row>
    <row r="227" ht="16.5" customHeight="1">
      <c r="G227" s="7"/>
      <c r="H227" s="7"/>
      <c r="I227" s="7"/>
      <c r="J227" s="7"/>
      <c r="M227" s="3"/>
    </row>
    <row r="228" ht="16.5" customHeight="1">
      <c r="G228" s="7"/>
      <c r="H228" s="7"/>
      <c r="I228" s="7"/>
      <c r="J228" s="7"/>
      <c r="M228" s="3"/>
    </row>
    <row r="229" ht="16.5" customHeight="1">
      <c r="G229" s="7"/>
      <c r="H229" s="7"/>
      <c r="I229" s="7"/>
      <c r="J229" s="7"/>
      <c r="M229" s="3"/>
    </row>
    <row r="230" ht="16.5" customHeight="1">
      <c r="G230" s="7"/>
      <c r="H230" s="7"/>
      <c r="I230" s="7"/>
      <c r="J230" s="7"/>
      <c r="M230" s="3"/>
    </row>
    <row r="231" ht="16.5" customHeight="1">
      <c r="G231" s="7"/>
      <c r="H231" s="7"/>
      <c r="I231" s="7"/>
      <c r="J231" s="7"/>
      <c r="M231" s="3"/>
    </row>
    <row r="232" ht="16.5" customHeight="1">
      <c r="G232" s="7"/>
      <c r="H232" s="7"/>
      <c r="I232" s="7"/>
      <c r="J232" s="7"/>
      <c r="M232" s="3"/>
    </row>
    <row r="233" ht="16.5" customHeight="1">
      <c r="G233" s="7"/>
      <c r="H233" s="7"/>
      <c r="I233" s="7"/>
      <c r="J233" s="7"/>
      <c r="M233" s="3"/>
    </row>
    <row r="234" ht="16.5" customHeight="1">
      <c r="G234" s="7"/>
      <c r="H234" s="7"/>
      <c r="I234" s="7"/>
      <c r="J234" s="7"/>
      <c r="M234" s="3"/>
    </row>
    <row r="235" ht="16.5" customHeight="1">
      <c r="G235" s="7"/>
      <c r="H235" s="7"/>
      <c r="I235" s="7"/>
      <c r="J235" s="7"/>
      <c r="M235" s="3"/>
    </row>
    <row r="236" ht="16.5" customHeight="1">
      <c r="G236" s="7"/>
      <c r="H236" s="7"/>
      <c r="I236" s="7"/>
      <c r="J236" s="7"/>
      <c r="M236" s="3"/>
    </row>
    <row r="237" ht="16.5" customHeight="1">
      <c r="G237" s="7"/>
      <c r="H237" s="7"/>
      <c r="I237" s="7"/>
      <c r="J237" s="7"/>
      <c r="M237" s="3"/>
    </row>
    <row r="238" ht="16.5" customHeight="1">
      <c r="G238" s="7"/>
      <c r="H238" s="7"/>
      <c r="I238" s="7"/>
      <c r="J238" s="7"/>
      <c r="M238" s="3"/>
    </row>
    <row r="239" ht="16.5" customHeight="1">
      <c r="G239" s="7"/>
      <c r="H239" s="7"/>
      <c r="I239" s="7"/>
      <c r="J239" s="7"/>
      <c r="M239" s="3"/>
    </row>
    <row r="240" ht="16.5" customHeight="1">
      <c r="G240" s="7"/>
      <c r="H240" s="7"/>
      <c r="I240" s="7"/>
      <c r="J240" s="7"/>
      <c r="M240" s="3"/>
    </row>
    <row r="241" ht="16.5" customHeight="1">
      <c r="G241" s="7"/>
      <c r="H241" s="7"/>
      <c r="I241" s="7"/>
      <c r="J241" s="7"/>
      <c r="M241" s="3"/>
    </row>
    <row r="242" ht="16.5" customHeight="1">
      <c r="G242" s="7"/>
      <c r="H242" s="7"/>
      <c r="I242" s="7"/>
      <c r="J242" s="7"/>
      <c r="M242" s="3"/>
    </row>
    <row r="243" ht="16.5" customHeight="1">
      <c r="G243" s="7"/>
      <c r="H243" s="7"/>
      <c r="I243" s="7"/>
      <c r="J243" s="7"/>
      <c r="M243" s="3"/>
    </row>
    <row r="244" ht="16.5" customHeight="1">
      <c r="G244" s="7"/>
      <c r="H244" s="7"/>
      <c r="I244" s="7"/>
      <c r="J244" s="7"/>
      <c r="M244" s="3"/>
    </row>
    <row r="245" ht="16.5" customHeight="1">
      <c r="G245" s="7"/>
      <c r="H245" s="7"/>
      <c r="I245" s="7"/>
      <c r="J245" s="7"/>
      <c r="M245" s="3"/>
    </row>
    <row r="246" ht="16.5" customHeight="1">
      <c r="G246" s="7"/>
      <c r="H246" s="7"/>
      <c r="I246" s="7"/>
      <c r="J246" s="7"/>
      <c r="M246" s="3"/>
    </row>
    <row r="247" ht="16.5" customHeight="1">
      <c r="G247" s="7"/>
      <c r="H247" s="7"/>
      <c r="I247" s="7"/>
      <c r="J247" s="7"/>
      <c r="M247" s="3"/>
    </row>
    <row r="248" ht="16.5" customHeight="1">
      <c r="G248" s="7"/>
      <c r="H248" s="7"/>
      <c r="I248" s="7"/>
      <c r="J248" s="7"/>
      <c r="M248" s="3"/>
    </row>
    <row r="249" ht="16.5" customHeight="1">
      <c r="G249" s="7"/>
      <c r="H249" s="7"/>
      <c r="I249" s="7"/>
      <c r="J249" s="7"/>
      <c r="M249" s="3"/>
    </row>
    <row r="250" ht="16.5" customHeight="1">
      <c r="G250" s="7"/>
      <c r="H250" s="7"/>
      <c r="I250" s="7"/>
      <c r="J250" s="7"/>
      <c r="M250" s="3"/>
    </row>
    <row r="251" ht="16.5" customHeight="1">
      <c r="G251" s="7"/>
      <c r="H251" s="7"/>
      <c r="I251" s="7"/>
      <c r="J251" s="7"/>
      <c r="M251" s="3"/>
    </row>
    <row r="252" ht="16.5" customHeight="1">
      <c r="G252" s="7"/>
      <c r="H252" s="7"/>
      <c r="I252" s="7"/>
      <c r="J252" s="7"/>
      <c r="M252" s="3"/>
    </row>
    <row r="253" ht="16.5" customHeight="1">
      <c r="G253" s="7"/>
      <c r="H253" s="7"/>
      <c r="I253" s="7"/>
      <c r="J253" s="7"/>
      <c r="M253" s="3"/>
    </row>
    <row r="254" ht="16.5" customHeight="1">
      <c r="G254" s="7"/>
      <c r="H254" s="7"/>
      <c r="I254" s="7"/>
      <c r="J254" s="7"/>
      <c r="M254" s="3"/>
    </row>
    <row r="255" ht="16.5" customHeight="1">
      <c r="G255" s="7"/>
      <c r="H255" s="7"/>
      <c r="I255" s="7"/>
      <c r="J255" s="7"/>
      <c r="M255" s="3"/>
    </row>
    <row r="256" ht="16.5" customHeight="1">
      <c r="G256" s="7"/>
      <c r="H256" s="7"/>
      <c r="I256" s="7"/>
      <c r="J256" s="7"/>
      <c r="M256" s="3"/>
    </row>
    <row r="257" ht="16.5" customHeight="1">
      <c r="G257" s="7"/>
      <c r="H257" s="7"/>
      <c r="I257" s="7"/>
      <c r="J257" s="7"/>
      <c r="M257" s="3"/>
    </row>
    <row r="258" ht="16.5" customHeight="1">
      <c r="G258" s="7"/>
      <c r="H258" s="7"/>
      <c r="I258" s="7"/>
      <c r="J258" s="7"/>
      <c r="M258" s="3"/>
    </row>
    <row r="259" ht="16.5" customHeight="1">
      <c r="G259" s="7"/>
      <c r="H259" s="7"/>
      <c r="I259" s="7"/>
      <c r="J259" s="7"/>
      <c r="M259" s="3"/>
    </row>
    <row r="260" ht="16.5" customHeight="1">
      <c r="G260" s="7"/>
      <c r="H260" s="7"/>
      <c r="I260" s="7"/>
      <c r="J260" s="7"/>
      <c r="M260" s="3"/>
    </row>
    <row r="261" ht="16.5" customHeight="1">
      <c r="G261" s="7"/>
      <c r="H261" s="7"/>
      <c r="I261" s="7"/>
      <c r="J261" s="7"/>
      <c r="M261" s="3"/>
    </row>
    <row r="262" ht="16.5" customHeight="1">
      <c r="G262" s="7"/>
      <c r="H262" s="7"/>
      <c r="I262" s="7"/>
      <c r="J262" s="7"/>
      <c r="M262" s="3"/>
    </row>
    <row r="263" ht="16.5" customHeight="1">
      <c r="G263" s="7"/>
      <c r="H263" s="7"/>
      <c r="I263" s="7"/>
      <c r="J263" s="7"/>
      <c r="M263" s="3"/>
    </row>
    <row r="264" ht="16.5" customHeight="1">
      <c r="G264" s="7"/>
      <c r="H264" s="7"/>
      <c r="I264" s="7"/>
      <c r="J264" s="7"/>
      <c r="M264" s="3"/>
    </row>
    <row r="265" ht="16.5" customHeight="1">
      <c r="G265" s="7"/>
      <c r="H265" s="7"/>
      <c r="I265" s="7"/>
      <c r="J265" s="7"/>
      <c r="M265" s="3"/>
    </row>
    <row r="266" ht="16.5" customHeight="1">
      <c r="G266" s="7"/>
      <c r="H266" s="7"/>
      <c r="I266" s="7"/>
      <c r="J266" s="7"/>
      <c r="M266" s="3"/>
    </row>
    <row r="267" ht="16.5" customHeight="1">
      <c r="G267" s="7"/>
      <c r="H267" s="7"/>
      <c r="I267" s="7"/>
      <c r="J267" s="7"/>
      <c r="M267" s="3"/>
    </row>
    <row r="268" ht="16.5" customHeight="1">
      <c r="G268" s="7"/>
      <c r="H268" s="7"/>
      <c r="I268" s="7"/>
      <c r="J268" s="7"/>
      <c r="M268" s="3"/>
    </row>
    <row r="269" ht="16.5" customHeight="1">
      <c r="G269" s="7"/>
      <c r="H269" s="7"/>
      <c r="I269" s="7"/>
      <c r="J269" s="7"/>
      <c r="M269" s="3"/>
    </row>
    <row r="270" ht="16.5" customHeight="1">
      <c r="G270" s="7"/>
      <c r="H270" s="7"/>
      <c r="I270" s="7"/>
      <c r="J270" s="7"/>
      <c r="M270" s="3"/>
    </row>
    <row r="271" ht="16.5" customHeight="1">
      <c r="G271" s="7"/>
      <c r="H271" s="7"/>
      <c r="I271" s="7"/>
      <c r="J271" s="7"/>
      <c r="M271" s="3"/>
    </row>
    <row r="272" ht="16.5" customHeight="1">
      <c r="G272" s="7"/>
      <c r="H272" s="7"/>
      <c r="I272" s="7"/>
      <c r="J272" s="7"/>
      <c r="M272" s="3"/>
    </row>
    <row r="273" ht="16.5" customHeight="1">
      <c r="G273" s="7"/>
      <c r="H273" s="7"/>
      <c r="I273" s="7"/>
      <c r="J273" s="7"/>
      <c r="M273" s="3"/>
    </row>
    <row r="274" ht="16.5" customHeight="1">
      <c r="G274" s="7"/>
      <c r="H274" s="7"/>
      <c r="I274" s="7"/>
      <c r="J274" s="7"/>
      <c r="M274" s="3"/>
    </row>
    <row r="275" ht="16.5" customHeight="1">
      <c r="G275" s="7"/>
      <c r="H275" s="7"/>
      <c r="I275" s="7"/>
      <c r="J275" s="7"/>
      <c r="M275" s="3"/>
    </row>
    <row r="276" ht="16.5" customHeight="1">
      <c r="G276" s="7"/>
      <c r="H276" s="7"/>
      <c r="I276" s="7"/>
      <c r="J276" s="7"/>
      <c r="M276" s="3"/>
    </row>
    <row r="277" ht="16.5" customHeight="1">
      <c r="G277" s="7"/>
      <c r="H277" s="7"/>
      <c r="I277" s="7"/>
      <c r="J277" s="7"/>
      <c r="M277" s="3"/>
    </row>
    <row r="278" ht="16.5" customHeight="1">
      <c r="G278" s="7"/>
      <c r="H278" s="7"/>
      <c r="I278" s="7"/>
      <c r="J278" s="7"/>
      <c r="M278" s="3"/>
    </row>
    <row r="279" ht="16.5" customHeight="1">
      <c r="G279" s="7"/>
      <c r="H279" s="7"/>
      <c r="I279" s="7"/>
      <c r="J279" s="7"/>
      <c r="M279" s="3"/>
    </row>
    <row r="280" ht="16.5" customHeight="1">
      <c r="G280" s="7"/>
      <c r="H280" s="7"/>
      <c r="I280" s="7"/>
      <c r="J280" s="7"/>
      <c r="M280" s="3"/>
    </row>
    <row r="281" ht="16.5" customHeight="1">
      <c r="G281" s="7"/>
      <c r="H281" s="7"/>
      <c r="I281" s="7"/>
      <c r="J281" s="7"/>
      <c r="M281" s="3"/>
    </row>
    <row r="282" ht="16.5" customHeight="1">
      <c r="G282" s="7"/>
      <c r="H282" s="7"/>
      <c r="I282" s="7"/>
      <c r="J282" s="7"/>
      <c r="M282" s="3"/>
    </row>
    <row r="283" ht="16.5" customHeight="1">
      <c r="G283" s="7"/>
      <c r="H283" s="7"/>
      <c r="I283" s="7"/>
      <c r="J283" s="7"/>
      <c r="M283" s="3"/>
    </row>
    <row r="284" ht="16.5" customHeight="1">
      <c r="G284" s="7"/>
      <c r="H284" s="7"/>
      <c r="I284" s="7"/>
      <c r="J284" s="7"/>
      <c r="M284" s="3"/>
    </row>
    <row r="285" ht="16.5" customHeight="1">
      <c r="G285" s="7"/>
      <c r="H285" s="7"/>
      <c r="I285" s="7"/>
      <c r="J285" s="7"/>
      <c r="M285" s="3"/>
    </row>
    <row r="286" ht="16.5" customHeight="1">
      <c r="G286" s="7"/>
      <c r="H286" s="7"/>
      <c r="I286" s="7"/>
      <c r="J286" s="7"/>
      <c r="M286" s="3"/>
    </row>
    <row r="287" ht="16.5" customHeight="1">
      <c r="G287" s="7"/>
      <c r="H287" s="7"/>
      <c r="I287" s="7"/>
      <c r="J287" s="7"/>
      <c r="M287" s="3"/>
    </row>
    <row r="288" ht="16.5" customHeight="1">
      <c r="G288" s="7"/>
      <c r="H288" s="7"/>
      <c r="I288" s="7"/>
      <c r="J288" s="7"/>
      <c r="M288" s="3"/>
    </row>
    <row r="289" ht="16.5" customHeight="1">
      <c r="G289" s="7"/>
      <c r="H289" s="7"/>
      <c r="I289" s="7"/>
      <c r="J289" s="7"/>
      <c r="M289" s="3"/>
    </row>
    <row r="290" ht="16.5" customHeight="1">
      <c r="G290" s="7"/>
      <c r="H290" s="7"/>
      <c r="I290" s="7"/>
      <c r="J290" s="7"/>
      <c r="M290" s="3"/>
    </row>
    <row r="291" ht="16.5" customHeight="1">
      <c r="G291" s="7"/>
      <c r="H291" s="7"/>
      <c r="I291" s="7"/>
      <c r="J291" s="7"/>
      <c r="M291" s="3"/>
    </row>
    <row r="292" ht="16.5" customHeight="1">
      <c r="G292" s="7"/>
      <c r="H292" s="7"/>
      <c r="I292" s="7"/>
      <c r="J292" s="7"/>
      <c r="M292" s="3"/>
    </row>
    <row r="293" ht="16.5" customHeight="1">
      <c r="G293" s="7"/>
      <c r="H293" s="7"/>
      <c r="I293" s="7"/>
      <c r="J293" s="7"/>
      <c r="M293" s="3"/>
    </row>
    <row r="294" ht="16.5" customHeight="1">
      <c r="G294" s="7"/>
      <c r="H294" s="7"/>
      <c r="I294" s="7"/>
      <c r="J294" s="7"/>
      <c r="M294" s="3"/>
    </row>
    <row r="295" ht="16.5" customHeight="1">
      <c r="G295" s="7"/>
      <c r="H295" s="7"/>
      <c r="I295" s="7"/>
      <c r="J295" s="7"/>
      <c r="M295" s="3"/>
    </row>
    <row r="296" ht="16.5" customHeight="1">
      <c r="G296" s="7"/>
      <c r="H296" s="7"/>
      <c r="I296" s="7"/>
      <c r="J296" s="7"/>
      <c r="M296" s="3"/>
    </row>
    <row r="297" ht="16.5" customHeight="1">
      <c r="G297" s="7"/>
      <c r="H297" s="7"/>
      <c r="I297" s="7"/>
      <c r="J297" s="7"/>
      <c r="M297" s="3"/>
    </row>
    <row r="298" ht="16.5" customHeight="1">
      <c r="G298" s="7"/>
      <c r="H298" s="7"/>
      <c r="I298" s="7"/>
      <c r="J298" s="7"/>
      <c r="M298" s="3"/>
    </row>
    <row r="299" ht="16.5" customHeight="1">
      <c r="G299" s="7"/>
      <c r="H299" s="7"/>
      <c r="I299" s="7"/>
      <c r="J299" s="7"/>
      <c r="M299" s="3"/>
    </row>
    <row r="300" ht="16.5" customHeight="1">
      <c r="G300" s="7"/>
      <c r="H300" s="7"/>
      <c r="I300" s="7"/>
      <c r="J300" s="7"/>
      <c r="M300" s="3"/>
    </row>
    <row r="301" ht="16.5" customHeight="1">
      <c r="G301" s="7"/>
      <c r="H301" s="7"/>
      <c r="I301" s="7"/>
      <c r="J301" s="7"/>
      <c r="M301" s="3"/>
    </row>
    <row r="302" ht="16.5" customHeight="1">
      <c r="G302" s="7"/>
      <c r="H302" s="7"/>
      <c r="I302" s="7"/>
      <c r="J302" s="7"/>
      <c r="M302" s="3"/>
    </row>
    <row r="303" ht="16.5" customHeight="1">
      <c r="G303" s="7"/>
      <c r="H303" s="7"/>
      <c r="I303" s="7"/>
      <c r="J303" s="7"/>
      <c r="M303" s="3"/>
    </row>
    <row r="304" ht="16.5" customHeight="1">
      <c r="G304" s="7"/>
      <c r="H304" s="7"/>
      <c r="I304" s="7"/>
      <c r="J304" s="7"/>
      <c r="M304" s="3"/>
    </row>
    <row r="305" ht="16.5" customHeight="1">
      <c r="G305" s="7"/>
      <c r="H305" s="7"/>
      <c r="I305" s="7"/>
      <c r="J305" s="7"/>
      <c r="M305" s="3"/>
    </row>
    <row r="306" ht="16.5" customHeight="1">
      <c r="G306" s="7"/>
      <c r="H306" s="7"/>
      <c r="I306" s="7"/>
      <c r="J306" s="7"/>
      <c r="M306" s="3"/>
    </row>
    <row r="307" ht="16.5" customHeight="1">
      <c r="G307" s="7"/>
      <c r="H307" s="7"/>
      <c r="I307" s="7"/>
      <c r="J307" s="7"/>
      <c r="M307" s="3"/>
    </row>
    <row r="308" ht="16.5" customHeight="1">
      <c r="G308" s="7"/>
      <c r="H308" s="7"/>
      <c r="I308" s="7"/>
      <c r="J308" s="7"/>
      <c r="M308" s="3"/>
    </row>
    <row r="309" ht="16.5" customHeight="1">
      <c r="G309" s="7"/>
      <c r="H309" s="7"/>
      <c r="I309" s="7"/>
      <c r="J309" s="7"/>
      <c r="M309" s="3"/>
    </row>
    <row r="310" ht="16.5" customHeight="1">
      <c r="G310" s="7"/>
      <c r="H310" s="7"/>
      <c r="I310" s="7"/>
      <c r="J310" s="7"/>
      <c r="M310" s="3"/>
    </row>
    <row r="311" ht="16.5" customHeight="1">
      <c r="G311" s="7"/>
      <c r="H311" s="7"/>
      <c r="I311" s="7"/>
      <c r="J311" s="7"/>
      <c r="M311" s="3"/>
    </row>
    <row r="312" ht="16.5" customHeight="1">
      <c r="G312" s="7"/>
      <c r="H312" s="7"/>
      <c r="I312" s="7"/>
      <c r="J312" s="7"/>
      <c r="M312" s="3"/>
    </row>
    <row r="313" ht="16.5" customHeight="1">
      <c r="G313" s="7"/>
      <c r="H313" s="7"/>
      <c r="I313" s="7"/>
      <c r="J313" s="7"/>
      <c r="M313" s="3"/>
    </row>
    <row r="314" ht="16.5" customHeight="1">
      <c r="G314" s="7"/>
      <c r="H314" s="7"/>
      <c r="I314" s="7"/>
      <c r="J314" s="7"/>
      <c r="M314" s="3"/>
    </row>
    <row r="315" ht="16.5" customHeight="1">
      <c r="G315" s="7"/>
      <c r="H315" s="7"/>
      <c r="I315" s="7"/>
      <c r="J315" s="7"/>
      <c r="M315" s="3"/>
    </row>
    <row r="316" ht="16.5" customHeight="1">
      <c r="G316" s="7"/>
      <c r="H316" s="7"/>
      <c r="I316" s="7"/>
      <c r="J316" s="7"/>
      <c r="M316" s="3"/>
    </row>
    <row r="317" ht="16.5" customHeight="1">
      <c r="G317" s="7"/>
      <c r="H317" s="7"/>
      <c r="I317" s="7"/>
      <c r="J317" s="7"/>
      <c r="M317" s="3"/>
    </row>
    <row r="318" ht="16.5" customHeight="1">
      <c r="G318" s="7"/>
      <c r="H318" s="7"/>
      <c r="I318" s="7"/>
      <c r="J318" s="7"/>
      <c r="M318" s="3"/>
    </row>
    <row r="319" ht="16.5" customHeight="1">
      <c r="G319" s="7"/>
      <c r="H319" s="7"/>
      <c r="I319" s="7"/>
      <c r="J319" s="7"/>
      <c r="M319" s="3"/>
    </row>
    <row r="320" ht="16.5" customHeight="1">
      <c r="G320" s="7"/>
      <c r="H320" s="7"/>
      <c r="I320" s="7"/>
      <c r="J320" s="7"/>
      <c r="M320" s="3"/>
    </row>
    <row r="321" ht="16.5" customHeight="1">
      <c r="G321" s="7"/>
      <c r="H321" s="7"/>
      <c r="I321" s="7"/>
      <c r="J321" s="7"/>
      <c r="M321" s="3"/>
    </row>
    <row r="322" ht="16.5" customHeight="1">
      <c r="G322" s="7"/>
      <c r="H322" s="7"/>
      <c r="I322" s="7"/>
      <c r="J322" s="7"/>
      <c r="M322" s="3"/>
    </row>
    <row r="323" ht="16.5" customHeight="1">
      <c r="G323" s="7"/>
      <c r="H323" s="7"/>
      <c r="I323" s="7"/>
      <c r="J323" s="7"/>
      <c r="M323" s="3"/>
    </row>
    <row r="324" ht="16.5" customHeight="1">
      <c r="G324" s="7"/>
      <c r="H324" s="7"/>
      <c r="I324" s="7"/>
      <c r="J324" s="7"/>
      <c r="M324" s="3"/>
    </row>
    <row r="325" ht="16.5" customHeight="1">
      <c r="G325" s="7"/>
      <c r="H325" s="7"/>
      <c r="I325" s="7"/>
      <c r="J325" s="7"/>
      <c r="M325" s="3"/>
    </row>
    <row r="326" ht="16.5" customHeight="1">
      <c r="G326" s="7"/>
      <c r="H326" s="7"/>
      <c r="I326" s="7"/>
      <c r="J326" s="7"/>
      <c r="M326" s="3"/>
    </row>
    <row r="327" ht="16.5" customHeight="1">
      <c r="G327" s="7"/>
      <c r="H327" s="7"/>
      <c r="I327" s="7"/>
      <c r="J327" s="7"/>
      <c r="M327" s="3"/>
    </row>
    <row r="328" ht="16.5" customHeight="1">
      <c r="G328" s="7"/>
      <c r="H328" s="7"/>
      <c r="I328" s="7"/>
      <c r="J328" s="7"/>
      <c r="M328" s="3"/>
    </row>
    <row r="329" ht="16.5" customHeight="1">
      <c r="G329" s="7"/>
      <c r="H329" s="7"/>
      <c r="I329" s="7"/>
      <c r="J329" s="7"/>
      <c r="M329" s="3"/>
    </row>
    <row r="330" ht="16.5" customHeight="1">
      <c r="G330" s="7"/>
      <c r="H330" s="7"/>
      <c r="I330" s="7"/>
      <c r="J330" s="7"/>
      <c r="M330" s="3"/>
    </row>
    <row r="331" ht="16.5" customHeight="1">
      <c r="G331" s="7"/>
      <c r="H331" s="7"/>
      <c r="I331" s="7"/>
      <c r="J331" s="7"/>
      <c r="M331" s="3"/>
    </row>
    <row r="332" ht="16.5" customHeight="1">
      <c r="G332" s="7"/>
      <c r="H332" s="7"/>
      <c r="I332" s="7"/>
      <c r="J332" s="7"/>
      <c r="M332" s="3"/>
    </row>
    <row r="333" ht="16.5" customHeight="1">
      <c r="G333" s="7"/>
      <c r="H333" s="7"/>
      <c r="I333" s="7"/>
      <c r="J333" s="7"/>
      <c r="M333" s="3"/>
    </row>
    <row r="334" ht="16.5" customHeight="1">
      <c r="G334" s="7"/>
      <c r="H334" s="7"/>
      <c r="I334" s="7"/>
      <c r="J334" s="7"/>
      <c r="M334" s="3"/>
    </row>
    <row r="335" ht="16.5" customHeight="1">
      <c r="G335" s="7"/>
      <c r="H335" s="7"/>
      <c r="I335" s="7"/>
      <c r="J335" s="7"/>
      <c r="M335" s="3"/>
    </row>
    <row r="336" ht="16.5" customHeight="1">
      <c r="G336" s="7"/>
      <c r="H336" s="7"/>
      <c r="I336" s="7"/>
      <c r="J336" s="7"/>
      <c r="M336" s="3"/>
    </row>
    <row r="337" ht="16.5" customHeight="1">
      <c r="G337" s="7"/>
      <c r="H337" s="7"/>
      <c r="I337" s="7"/>
      <c r="J337" s="7"/>
      <c r="M337" s="3"/>
    </row>
    <row r="338" ht="16.5" customHeight="1">
      <c r="G338" s="7"/>
      <c r="H338" s="7"/>
      <c r="I338" s="7"/>
      <c r="J338" s="7"/>
      <c r="M338" s="3"/>
    </row>
    <row r="339" ht="16.5" customHeight="1">
      <c r="G339" s="7"/>
      <c r="H339" s="7"/>
      <c r="I339" s="7"/>
      <c r="J339" s="7"/>
      <c r="M339" s="3"/>
    </row>
    <row r="340" ht="16.5" customHeight="1">
      <c r="G340" s="7"/>
      <c r="H340" s="7"/>
      <c r="I340" s="7"/>
      <c r="J340" s="7"/>
      <c r="M340" s="3"/>
    </row>
    <row r="341" ht="16.5" customHeight="1">
      <c r="G341" s="7"/>
      <c r="H341" s="7"/>
      <c r="I341" s="7"/>
      <c r="J341" s="7"/>
      <c r="M341" s="3"/>
    </row>
    <row r="342" ht="16.5" customHeight="1">
      <c r="G342" s="7"/>
      <c r="H342" s="7"/>
      <c r="I342" s="7"/>
      <c r="J342" s="7"/>
      <c r="M342" s="3"/>
    </row>
    <row r="343" ht="16.5" customHeight="1">
      <c r="G343" s="7"/>
      <c r="H343" s="7"/>
      <c r="I343" s="7"/>
      <c r="J343" s="7"/>
      <c r="M343" s="3"/>
    </row>
    <row r="344" ht="16.5" customHeight="1">
      <c r="G344" s="7"/>
      <c r="H344" s="7"/>
      <c r="I344" s="7"/>
      <c r="J344" s="7"/>
      <c r="M344" s="3"/>
    </row>
    <row r="345" ht="16.5" customHeight="1">
      <c r="G345" s="7"/>
      <c r="H345" s="7"/>
      <c r="I345" s="7"/>
      <c r="J345" s="7"/>
      <c r="M345" s="3"/>
    </row>
    <row r="346" ht="16.5" customHeight="1">
      <c r="G346" s="7"/>
      <c r="H346" s="7"/>
      <c r="I346" s="7"/>
      <c r="J346" s="7"/>
      <c r="M346" s="3"/>
    </row>
    <row r="347" ht="16.5" customHeight="1">
      <c r="G347" s="7"/>
      <c r="H347" s="7"/>
      <c r="I347" s="7"/>
      <c r="J347" s="7"/>
      <c r="M347" s="3"/>
    </row>
    <row r="348" ht="16.5" customHeight="1">
      <c r="G348" s="7"/>
      <c r="H348" s="7"/>
      <c r="I348" s="7"/>
      <c r="J348" s="7"/>
      <c r="M348" s="3"/>
    </row>
    <row r="349" ht="16.5" customHeight="1">
      <c r="G349" s="7"/>
      <c r="H349" s="7"/>
      <c r="I349" s="7"/>
      <c r="J349" s="7"/>
      <c r="M349" s="3"/>
    </row>
    <row r="350" ht="16.5" customHeight="1">
      <c r="G350" s="7"/>
      <c r="H350" s="7"/>
      <c r="I350" s="7"/>
      <c r="J350" s="7"/>
      <c r="M350" s="3"/>
    </row>
    <row r="351" ht="16.5" customHeight="1">
      <c r="G351" s="7"/>
      <c r="H351" s="7"/>
      <c r="I351" s="7"/>
      <c r="J351" s="7"/>
      <c r="M351" s="3"/>
    </row>
    <row r="352" ht="16.5" customHeight="1">
      <c r="G352" s="7"/>
      <c r="H352" s="7"/>
      <c r="I352" s="7"/>
      <c r="J352" s="7"/>
      <c r="M352" s="3"/>
    </row>
    <row r="353" ht="16.5" customHeight="1">
      <c r="G353" s="7"/>
      <c r="H353" s="7"/>
      <c r="I353" s="7"/>
      <c r="J353" s="7"/>
      <c r="M353" s="3"/>
    </row>
    <row r="354" ht="16.5" customHeight="1">
      <c r="G354" s="7"/>
      <c r="H354" s="7"/>
      <c r="I354" s="7"/>
      <c r="J354" s="7"/>
      <c r="M354" s="3"/>
    </row>
    <row r="355" ht="16.5" customHeight="1">
      <c r="G355" s="7"/>
      <c r="H355" s="7"/>
      <c r="I355" s="7"/>
      <c r="J355" s="7"/>
      <c r="M355" s="3"/>
    </row>
    <row r="356" ht="16.5" customHeight="1">
      <c r="G356" s="7"/>
      <c r="H356" s="7"/>
      <c r="I356" s="7"/>
      <c r="J356" s="7"/>
      <c r="M356" s="3"/>
    </row>
    <row r="357" ht="16.5" customHeight="1">
      <c r="G357" s="7"/>
      <c r="H357" s="7"/>
      <c r="I357" s="7"/>
      <c r="J357" s="7"/>
      <c r="M357" s="3"/>
    </row>
    <row r="358" ht="16.5" customHeight="1">
      <c r="G358" s="7"/>
      <c r="H358" s="7"/>
      <c r="I358" s="7"/>
      <c r="J358" s="7"/>
      <c r="M358" s="3"/>
    </row>
    <row r="359" ht="16.5" customHeight="1">
      <c r="G359" s="7"/>
      <c r="H359" s="7"/>
      <c r="I359" s="7"/>
      <c r="J359" s="7"/>
      <c r="M359" s="3"/>
    </row>
    <row r="360" ht="16.5" customHeight="1">
      <c r="G360" s="7"/>
      <c r="H360" s="7"/>
      <c r="I360" s="7"/>
      <c r="J360" s="7"/>
      <c r="M360" s="3"/>
    </row>
    <row r="361" ht="16.5" customHeight="1">
      <c r="G361" s="7"/>
      <c r="H361" s="7"/>
      <c r="I361" s="7"/>
      <c r="J361" s="7"/>
      <c r="M361" s="3"/>
    </row>
    <row r="362" ht="16.5" customHeight="1">
      <c r="G362" s="7"/>
      <c r="H362" s="7"/>
      <c r="I362" s="7"/>
      <c r="J362" s="7"/>
      <c r="M362" s="3"/>
    </row>
    <row r="363" ht="16.5" customHeight="1">
      <c r="G363" s="7"/>
      <c r="H363" s="7"/>
      <c r="I363" s="7"/>
      <c r="J363" s="7"/>
      <c r="M363" s="3"/>
    </row>
    <row r="364" ht="16.5" customHeight="1">
      <c r="G364" s="7"/>
      <c r="H364" s="7"/>
      <c r="I364" s="7"/>
      <c r="J364" s="7"/>
      <c r="M364" s="3"/>
    </row>
    <row r="365" ht="16.5" customHeight="1">
      <c r="G365" s="7"/>
      <c r="H365" s="7"/>
      <c r="I365" s="7"/>
      <c r="J365" s="7"/>
      <c r="M365" s="3"/>
    </row>
    <row r="366" ht="16.5" customHeight="1">
      <c r="G366" s="7"/>
      <c r="H366" s="7"/>
      <c r="I366" s="7"/>
      <c r="J366" s="7"/>
      <c r="M366" s="3"/>
    </row>
    <row r="367" ht="16.5" customHeight="1">
      <c r="G367" s="7"/>
      <c r="H367" s="7"/>
      <c r="I367" s="7"/>
      <c r="J367" s="7"/>
      <c r="M367" s="3"/>
    </row>
    <row r="368" ht="16.5" customHeight="1">
      <c r="G368" s="7"/>
      <c r="H368" s="7"/>
      <c r="I368" s="7"/>
      <c r="J368" s="7"/>
      <c r="M368" s="3"/>
    </row>
    <row r="369" ht="16.5" customHeight="1">
      <c r="G369" s="7"/>
      <c r="H369" s="7"/>
      <c r="I369" s="7"/>
      <c r="J369" s="7"/>
      <c r="M369" s="3"/>
    </row>
    <row r="370" ht="16.5" customHeight="1">
      <c r="G370" s="7"/>
      <c r="H370" s="7"/>
      <c r="I370" s="7"/>
      <c r="J370" s="7"/>
      <c r="M370" s="3"/>
    </row>
    <row r="371" ht="16.5" customHeight="1">
      <c r="G371" s="7"/>
      <c r="H371" s="7"/>
      <c r="I371" s="7"/>
      <c r="J371" s="7"/>
      <c r="M371" s="3"/>
    </row>
    <row r="372" ht="16.5" customHeight="1">
      <c r="G372" s="7"/>
      <c r="H372" s="7"/>
      <c r="I372" s="7"/>
      <c r="J372" s="7"/>
      <c r="M372" s="3"/>
    </row>
    <row r="373" ht="16.5" customHeight="1">
      <c r="G373" s="7"/>
      <c r="H373" s="7"/>
      <c r="I373" s="7"/>
      <c r="J373" s="7"/>
      <c r="M373" s="3"/>
    </row>
    <row r="374" ht="16.5" customHeight="1">
      <c r="G374" s="7"/>
      <c r="H374" s="7"/>
      <c r="I374" s="7"/>
      <c r="J374" s="7"/>
      <c r="M374" s="3"/>
    </row>
    <row r="375" ht="16.5" customHeight="1">
      <c r="G375" s="7"/>
      <c r="H375" s="7"/>
      <c r="I375" s="7"/>
      <c r="J375" s="7"/>
      <c r="M375" s="3"/>
    </row>
    <row r="376" ht="16.5" customHeight="1">
      <c r="G376" s="7"/>
      <c r="H376" s="7"/>
      <c r="I376" s="7"/>
      <c r="J376" s="7"/>
      <c r="M376" s="3"/>
    </row>
    <row r="377" ht="16.5" customHeight="1">
      <c r="G377" s="7"/>
      <c r="H377" s="7"/>
      <c r="I377" s="7"/>
      <c r="J377" s="7"/>
      <c r="M377" s="3"/>
    </row>
    <row r="378" ht="16.5" customHeight="1">
      <c r="G378" s="7"/>
      <c r="H378" s="7"/>
      <c r="I378" s="7"/>
      <c r="J378" s="7"/>
      <c r="M378" s="3"/>
    </row>
    <row r="379" ht="16.5" customHeight="1">
      <c r="G379" s="7"/>
      <c r="H379" s="7"/>
      <c r="I379" s="7"/>
      <c r="J379" s="7"/>
      <c r="M379" s="3"/>
    </row>
    <row r="380" ht="16.5" customHeight="1">
      <c r="G380" s="7"/>
      <c r="H380" s="7"/>
      <c r="I380" s="7"/>
      <c r="J380" s="7"/>
      <c r="M380" s="3"/>
    </row>
    <row r="381" ht="16.5" customHeight="1">
      <c r="G381" s="7"/>
      <c r="H381" s="7"/>
      <c r="I381" s="7"/>
      <c r="J381" s="7"/>
      <c r="M381" s="3"/>
    </row>
    <row r="382" ht="16.5" customHeight="1">
      <c r="G382" s="7"/>
      <c r="H382" s="7"/>
      <c r="I382" s="7"/>
      <c r="J382" s="7"/>
      <c r="M382" s="3"/>
    </row>
    <row r="383" ht="16.5" customHeight="1">
      <c r="G383" s="7"/>
      <c r="H383" s="7"/>
      <c r="I383" s="7"/>
      <c r="J383" s="7"/>
      <c r="M383" s="3"/>
    </row>
    <row r="384" ht="16.5" customHeight="1">
      <c r="G384" s="7"/>
      <c r="H384" s="7"/>
      <c r="I384" s="7"/>
      <c r="J384" s="7"/>
      <c r="M384" s="3"/>
    </row>
    <row r="385" ht="16.5" customHeight="1">
      <c r="G385" s="7"/>
      <c r="H385" s="7"/>
      <c r="I385" s="7"/>
      <c r="J385" s="7"/>
      <c r="M385" s="3"/>
    </row>
    <row r="386" ht="16.5" customHeight="1">
      <c r="G386" s="7"/>
      <c r="H386" s="7"/>
      <c r="I386" s="7"/>
      <c r="J386" s="7"/>
      <c r="M386" s="3"/>
    </row>
    <row r="387" ht="16.5" customHeight="1">
      <c r="G387" s="7"/>
      <c r="H387" s="7"/>
      <c r="I387" s="7"/>
      <c r="J387" s="7"/>
      <c r="M387" s="3"/>
    </row>
    <row r="388" ht="16.5" customHeight="1">
      <c r="G388" s="7"/>
      <c r="H388" s="7"/>
      <c r="I388" s="7"/>
      <c r="J388" s="7"/>
      <c r="M388" s="3"/>
    </row>
    <row r="389" ht="16.5" customHeight="1">
      <c r="G389" s="7"/>
      <c r="H389" s="7"/>
      <c r="I389" s="7"/>
      <c r="J389" s="7"/>
      <c r="M389" s="3"/>
    </row>
    <row r="390" ht="16.5" customHeight="1">
      <c r="G390" s="7"/>
      <c r="H390" s="7"/>
      <c r="I390" s="7"/>
      <c r="J390" s="7"/>
      <c r="M390" s="3"/>
    </row>
    <row r="391" ht="16.5" customHeight="1">
      <c r="G391" s="7"/>
      <c r="H391" s="7"/>
      <c r="I391" s="7"/>
      <c r="J391" s="7"/>
      <c r="M391" s="3"/>
    </row>
    <row r="392" ht="16.5" customHeight="1">
      <c r="G392" s="7"/>
      <c r="H392" s="7"/>
      <c r="I392" s="7"/>
      <c r="J392" s="7"/>
      <c r="M392" s="3"/>
    </row>
    <row r="393" ht="16.5" customHeight="1">
      <c r="G393" s="7"/>
      <c r="H393" s="7"/>
      <c r="I393" s="7"/>
      <c r="J393" s="7"/>
      <c r="M393" s="3"/>
    </row>
    <row r="394" ht="16.5" customHeight="1">
      <c r="G394" s="7"/>
      <c r="H394" s="7"/>
      <c r="I394" s="7"/>
      <c r="J394" s="7"/>
      <c r="M394" s="3"/>
    </row>
    <row r="395" ht="16.5" customHeight="1">
      <c r="G395" s="7"/>
      <c r="H395" s="7"/>
      <c r="I395" s="7"/>
      <c r="J395" s="7"/>
      <c r="M395" s="3"/>
    </row>
    <row r="396" ht="16.5" customHeight="1">
      <c r="G396" s="7"/>
      <c r="H396" s="7"/>
      <c r="I396" s="7"/>
      <c r="J396" s="7"/>
      <c r="M396" s="3"/>
    </row>
    <row r="397" ht="16.5" customHeight="1">
      <c r="G397" s="7"/>
      <c r="H397" s="7"/>
      <c r="I397" s="7"/>
      <c r="J397" s="7"/>
      <c r="M397" s="3"/>
    </row>
    <row r="398" ht="16.5" customHeight="1">
      <c r="G398" s="7"/>
      <c r="H398" s="7"/>
      <c r="I398" s="7"/>
      <c r="J398" s="7"/>
      <c r="M398" s="3"/>
    </row>
    <row r="399" ht="16.5" customHeight="1">
      <c r="G399" s="7"/>
      <c r="H399" s="7"/>
      <c r="I399" s="7"/>
      <c r="J399" s="7"/>
      <c r="M399" s="3"/>
    </row>
    <row r="400" ht="16.5" customHeight="1">
      <c r="G400" s="7"/>
      <c r="H400" s="7"/>
      <c r="I400" s="7"/>
      <c r="J400" s="7"/>
      <c r="M400" s="3"/>
    </row>
    <row r="401" ht="16.5" customHeight="1">
      <c r="G401" s="7"/>
      <c r="H401" s="7"/>
      <c r="I401" s="7"/>
      <c r="J401" s="7"/>
      <c r="M401" s="3"/>
    </row>
    <row r="402" ht="16.5" customHeight="1">
      <c r="G402" s="7"/>
      <c r="H402" s="7"/>
      <c r="I402" s="7"/>
      <c r="J402" s="7"/>
      <c r="M402" s="3"/>
    </row>
    <row r="403" ht="16.5" customHeight="1">
      <c r="G403" s="7"/>
      <c r="H403" s="7"/>
      <c r="I403" s="7"/>
      <c r="J403" s="7"/>
      <c r="M403" s="3"/>
    </row>
    <row r="404" ht="16.5" customHeight="1">
      <c r="G404" s="7"/>
      <c r="H404" s="7"/>
      <c r="I404" s="7"/>
      <c r="J404" s="7"/>
      <c r="M404" s="3"/>
    </row>
    <row r="405" ht="16.5" customHeight="1">
      <c r="G405" s="7"/>
      <c r="H405" s="7"/>
      <c r="I405" s="7"/>
      <c r="J405" s="7"/>
      <c r="M405" s="3"/>
    </row>
    <row r="406" ht="16.5" customHeight="1">
      <c r="G406" s="7"/>
      <c r="H406" s="7"/>
      <c r="I406" s="7"/>
      <c r="J406" s="7"/>
      <c r="M406" s="3"/>
    </row>
    <row r="407" ht="16.5" customHeight="1">
      <c r="G407" s="7"/>
      <c r="H407" s="7"/>
      <c r="I407" s="7"/>
      <c r="J407" s="7"/>
      <c r="M407" s="3"/>
    </row>
    <row r="408" ht="16.5" customHeight="1">
      <c r="G408" s="7"/>
      <c r="H408" s="7"/>
      <c r="I408" s="7"/>
      <c r="J408" s="7"/>
      <c r="M408" s="3"/>
    </row>
    <row r="409" ht="16.5" customHeight="1">
      <c r="G409" s="7"/>
      <c r="H409" s="7"/>
      <c r="I409" s="7"/>
      <c r="J409" s="7"/>
      <c r="M409" s="3"/>
    </row>
    <row r="410" ht="16.5" customHeight="1">
      <c r="G410" s="7"/>
      <c r="H410" s="7"/>
      <c r="I410" s="7"/>
      <c r="J410" s="7"/>
      <c r="M410" s="3"/>
    </row>
    <row r="411" ht="16.5" customHeight="1">
      <c r="G411" s="7"/>
      <c r="H411" s="7"/>
      <c r="I411" s="7"/>
      <c r="J411" s="7"/>
      <c r="M411" s="3"/>
    </row>
    <row r="412" ht="16.5" customHeight="1">
      <c r="G412" s="7"/>
      <c r="H412" s="7"/>
      <c r="I412" s="7"/>
      <c r="J412" s="7"/>
      <c r="M412" s="3"/>
    </row>
    <row r="413" ht="16.5" customHeight="1">
      <c r="G413" s="7"/>
      <c r="H413" s="7"/>
      <c r="I413" s="7"/>
      <c r="J413" s="7"/>
      <c r="M413" s="3"/>
    </row>
    <row r="414" ht="16.5" customHeight="1">
      <c r="G414" s="7"/>
      <c r="H414" s="7"/>
      <c r="I414" s="7"/>
      <c r="J414" s="7"/>
      <c r="M414" s="3"/>
    </row>
    <row r="415" ht="16.5" customHeight="1">
      <c r="G415" s="7"/>
      <c r="H415" s="7"/>
      <c r="I415" s="7"/>
      <c r="J415" s="7"/>
      <c r="M415" s="3"/>
    </row>
    <row r="416" ht="16.5" customHeight="1">
      <c r="G416" s="7"/>
      <c r="H416" s="7"/>
      <c r="I416" s="7"/>
      <c r="J416" s="7"/>
      <c r="M416" s="3"/>
    </row>
    <row r="417" ht="16.5" customHeight="1">
      <c r="G417" s="7"/>
      <c r="H417" s="7"/>
      <c r="I417" s="7"/>
      <c r="J417" s="7"/>
      <c r="M417" s="3"/>
    </row>
    <row r="418" ht="16.5" customHeight="1">
      <c r="G418" s="7"/>
      <c r="H418" s="7"/>
      <c r="I418" s="7"/>
      <c r="J418" s="7"/>
      <c r="M418" s="3"/>
    </row>
    <row r="419" ht="16.5" customHeight="1">
      <c r="G419" s="7"/>
      <c r="H419" s="7"/>
      <c r="I419" s="7"/>
      <c r="J419" s="7"/>
      <c r="M419" s="3"/>
    </row>
    <row r="420" ht="16.5" customHeight="1">
      <c r="G420" s="7"/>
      <c r="H420" s="7"/>
      <c r="I420" s="7"/>
      <c r="J420" s="7"/>
      <c r="M420" s="3"/>
    </row>
    <row r="421" ht="16.5" customHeight="1">
      <c r="G421" s="7"/>
      <c r="H421" s="7"/>
      <c r="I421" s="7"/>
      <c r="J421" s="7"/>
      <c r="M421" s="3"/>
    </row>
    <row r="422" ht="16.5" customHeight="1">
      <c r="G422" s="7"/>
      <c r="H422" s="7"/>
      <c r="I422" s="7"/>
      <c r="J422" s="7"/>
      <c r="M422" s="3"/>
    </row>
    <row r="423" ht="16.5" customHeight="1">
      <c r="G423" s="7"/>
      <c r="H423" s="7"/>
      <c r="I423" s="7"/>
      <c r="J423" s="7"/>
      <c r="M423" s="3"/>
    </row>
    <row r="424" ht="16.5" customHeight="1">
      <c r="G424" s="7"/>
      <c r="H424" s="7"/>
      <c r="I424" s="7"/>
      <c r="J424" s="7"/>
      <c r="M424" s="3"/>
    </row>
    <row r="425" ht="16.5" customHeight="1">
      <c r="G425" s="7"/>
      <c r="H425" s="7"/>
      <c r="I425" s="7"/>
      <c r="J425" s="7"/>
      <c r="M425" s="3"/>
    </row>
    <row r="426" ht="16.5" customHeight="1">
      <c r="G426" s="7"/>
      <c r="H426" s="7"/>
      <c r="I426" s="7"/>
      <c r="J426" s="7"/>
      <c r="M426" s="3"/>
    </row>
    <row r="427" ht="16.5" customHeight="1">
      <c r="G427" s="7"/>
      <c r="H427" s="7"/>
      <c r="I427" s="7"/>
      <c r="J427" s="7"/>
      <c r="M427" s="3"/>
    </row>
    <row r="428" ht="16.5" customHeight="1">
      <c r="G428" s="7"/>
      <c r="H428" s="7"/>
      <c r="I428" s="7"/>
      <c r="J428" s="7"/>
      <c r="M428" s="3"/>
    </row>
    <row r="429" ht="16.5" customHeight="1">
      <c r="G429" s="7"/>
      <c r="H429" s="7"/>
      <c r="I429" s="7"/>
      <c r="J429" s="7"/>
      <c r="M429" s="3"/>
    </row>
    <row r="430" ht="16.5" customHeight="1">
      <c r="G430" s="7"/>
      <c r="H430" s="7"/>
      <c r="I430" s="7"/>
      <c r="J430" s="7"/>
      <c r="M430" s="3"/>
    </row>
    <row r="431" ht="16.5" customHeight="1">
      <c r="G431" s="7"/>
      <c r="H431" s="7"/>
      <c r="I431" s="7"/>
      <c r="J431" s="7"/>
      <c r="M431" s="3"/>
    </row>
    <row r="432" ht="16.5" customHeight="1">
      <c r="G432" s="7"/>
      <c r="H432" s="7"/>
      <c r="I432" s="7"/>
      <c r="J432" s="7"/>
      <c r="M432" s="3"/>
    </row>
    <row r="433" ht="16.5" customHeight="1">
      <c r="G433" s="7"/>
      <c r="H433" s="7"/>
      <c r="I433" s="7"/>
      <c r="J433" s="7"/>
      <c r="M433" s="3"/>
    </row>
    <row r="434" ht="16.5" customHeight="1">
      <c r="G434" s="7"/>
      <c r="H434" s="7"/>
      <c r="I434" s="7"/>
      <c r="J434" s="7"/>
      <c r="M434" s="3"/>
    </row>
    <row r="435" ht="16.5" customHeight="1">
      <c r="G435" s="7"/>
      <c r="H435" s="7"/>
      <c r="I435" s="7"/>
      <c r="J435" s="7"/>
      <c r="M435" s="3"/>
    </row>
    <row r="436" ht="16.5" customHeight="1">
      <c r="G436" s="7"/>
      <c r="H436" s="7"/>
      <c r="I436" s="7"/>
      <c r="J436" s="7"/>
      <c r="M436" s="3"/>
    </row>
    <row r="437" ht="16.5" customHeight="1">
      <c r="G437" s="7"/>
      <c r="H437" s="7"/>
      <c r="I437" s="7"/>
      <c r="J437" s="7"/>
      <c r="M437" s="3"/>
    </row>
    <row r="438" ht="16.5" customHeight="1">
      <c r="G438" s="7"/>
      <c r="H438" s="7"/>
      <c r="I438" s="7"/>
      <c r="J438" s="7"/>
      <c r="M438" s="3"/>
    </row>
    <row r="439" ht="16.5" customHeight="1">
      <c r="G439" s="7"/>
      <c r="H439" s="7"/>
      <c r="I439" s="7"/>
      <c r="J439" s="7"/>
      <c r="M439" s="3"/>
    </row>
    <row r="440" ht="16.5" customHeight="1">
      <c r="G440" s="7"/>
      <c r="H440" s="7"/>
      <c r="I440" s="7"/>
      <c r="J440" s="7"/>
      <c r="M440" s="3"/>
    </row>
    <row r="441" ht="16.5" customHeight="1">
      <c r="G441" s="7"/>
      <c r="H441" s="7"/>
      <c r="I441" s="7"/>
      <c r="J441" s="7"/>
      <c r="M441" s="3"/>
    </row>
    <row r="442" ht="16.5" customHeight="1">
      <c r="G442" s="7"/>
      <c r="H442" s="7"/>
      <c r="I442" s="7"/>
      <c r="J442" s="7"/>
      <c r="M442" s="3"/>
    </row>
    <row r="443" ht="16.5" customHeight="1">
      <c r="G443" s="7"/>
      <c r="H443" s="7"/>
      <c r="I443" s="7"/>
      <c r="J443" s="7"/>
      <c r="M443" s="3"/>
    </row>
    <row r="444" ht="16.5" customHeight="1">
      <c r="G444" s="7"/>
      <c r="H444" s="7"/>
      <c r="I444" s="7"/>
      <c r="J444" s="7"/>
      <c r="M444" s="3"/>
    </row>
    <row r="445" ht="16.5" customHeight="1">
      <c r="G445" s="7"/>
      <c r="H445" s="7"/>
      <c r="I445" s="7"/>
      <c r="J445" s="7"/>
      <c r="M445" s="3"/>
    </row>
    <row r="446" ht="16.5" customHeight="1">
      <c r="G446" s="7"/>
      <c r="H446" s="7"/>
      <c r="I446" s="7"/>
      <c r="J446" s="7"/>
      <c r="M446" s="3"/>
    </row>
    <row r="447" ht="16.5" customHeight="1">
      <c r="G447" s="7"/>
      <c r="H447" s="7"/>
      <c r="I447" s="7"/>
      <c r="J447" s="7"/>
      <c r="M447" s="3"/>
    </row>
    <row r="448" ht="16.5" customHeight="1">
      <c r="G448" s="7"/>
      <c r="H448" s="7"/>
      <c r="I448" s="7"/>
      <c r="J448" s="7"/>
      <c r="M448" s="3"/>
    </row>
    <row r="449" ht="16.5" customHeight="1">
      <c r="G449" s="7"/>
      <c r="H449" s="7"/>
      <c r="I449" s="7"/>
      <c r="J449" s="7"/>
      <c r="M449" s="3"/>
    </row>
    <row r="450" ht="16.5" customHeight="1">
      <c r="G450" s="7"/>
      <c r="H450" s="7"/>
      <c r="I450" s="7"/>
      <c r="J450" s="7"/>
      <c r="M450" s="3"/>
    </row>
    <row r="451" ht="16.5" customHeight="1">
      <c r="G451" s="7"/>
      <c r="H451" s="7"/>
      <c r="I451" s="7"/>
      <c r="J451" s="7"/>
      <c r="M451" s="3"/>
    </row>
    <row r="452" ht="16.5" customHeight="1">
      <c r="G452" s="7"/>
      <c r="H452" s="7"/>
      <c r="I452" s="7"/>
      <c r="J452" s="7"/>
      <c r="M452" s="3"/>
    </row>
    <row r="453" ht="16.5" customHeight="1">
      <c r="G453" s="7"/>
      <c r="H453" s="7"/>
      <c r="I453" s="7"/>
      <c r="J453" s="7"/>
      <c r="M453" s="3"/>
    </row>
    <row r="454" ht="16.5" customHeight="1">
      <c r="G454" s="7"/>
      <c r="H454" s="7"/>
      <c r="I454" s="7"/>
      <c r="J454" s="7"/>
      <c r="M454" s="3"/>
    </row>
    <row r="455" ht="16.5" customHeight="1">
      <c r="G455" s="7"/>
      <c r="H455" s="7"/>
      <c r="I455" s="7"/>
      <c r="J455" s="7"/>
      <c r="M455" s="3"/>
    </row>
    <row r="456" ht="16.5" customHeight="1">
      <c r="G456" s="7"/>
      <c r="H456" s="7"/>
      <c r="I456" s="7"/>
      <c r="J456" s="7"/>
      <c r="M456" s="3"/>
    </row>
    <row r="457" ht="16.5" customHeight="1">
      <c r="G457" s="7"/>
      <c r="H457" s="7"/>
      <c r="I457" s="7"/>
      <c r="J457" s="7"/>
      <c r="M457" s="3"/>
    </row>
    <row r="458" ht="16.5" customHeight="1">
      <c r="G458" s="7"/>
      <c r="H458" s="7"/>
      <c r="I458" s="7"/>
      <c r="J458" s="7"/>
      <c r="M458" s="3"/>
    </row>
    <row r="459" ht="16.5" customHeight="1">
      <c r="G459" s="7"/>
      <c r="H459" s="7"/>
      <c r="I459" s="7"/>
      <c r="J459" s="7"/>
      <c r="M459" s="3"/>
    </row>
    <row r="460" ht="16.5" customHeight="1">
      <c r="G460" s="7"/>
      <c r="H460" s="7"/>
      <c r="I460" s="7"/>
      <c r="J460" s="7"/>
      <c r="M460" s="3"/>
    </row>
    <row r="461" ht="16.5" customHeight="1">
      <c r="G461" s="7"/>
      <c r="H461" s="7"/>
      <c r="I461" s="7"/>
      <c r="J461" s="7"/>
      <c r="M461" s="3"/>
    </row>
    <row r="462" ht="16.5" customHeight="1">
      <c r="G462" s="7"/>
      <c r="H462" s="7"/>
      <c r="I462" s="7"/>
      <c r="J462" s="7"/>
      <c r="M462" s="3"/>
    </row>
    <row r="463" ht="16.5" customHeight="1">
      <c r="G463" s="7"/>
      <c r="H463" s="7"/>
      <c r="I463" s="7"/>
      <c r="J463" s="7"/>
      <c r="M463" s="3"/>
    </row>
    <row r="464" ht="16.5" customHeight="1">
      <c r="G464" s="7"/>
      <c r="H464" s="7"/>
      <c r="I464" s="7"/>
      <c r="J464" s="7"/>
      <c r="M464" s="3"/>
    </row>
    <row r="465" ht="16.5" customHeight="1">
      <c r="G465" s="7"/>
      <c r="H465" s="7"/>
      <c r="I465" s="7"/>
      <c r="J465" s="7"/>
      <c r="M465" s="3"/>
    </row>
    <row r="466" ht="16.5" customHeight="1">
      <c r="G466" s="7"/>
      <c r="H466" s="7"/>
      <c r="I466" s="7"/>
      <c r="J466" s="7"/>
      <c r="M466" s="3"/>
    </row>
    <row r="467" ht="16.5" customHeight="1">
      <c r="G467" s="7"/>
      <c r="H467" s="7"/>
      <c r="I467" s="7"/>
      <c r="J467" s="7"/>
      <c r="M467" s="3"/>
    </row>
    <row r="468" ht="16.5" customHeight="1">
      <c r="G468" s="7"/>
      <c r="H468" s="7"/>
      <c r="I468" s="7"/>
      <c r="J468" s="7"/>
      <c r="M468" s="3"/>
    </row>
    <row r="469" ht="16.5" customHeight="1">
      <c r="G469" s="7"/>
      <c r="H469" s="7"/>
      <c r="I469" s="7"/>
      <c r="J469" s="7"/>
      <c r="M469" s="3"/>
    </row>
    <row r="470" ht="16.5" customHeight="1">
      <c r="G470" s="7"/>
      <c r="H470" s="7"/>
      <c r="I470" s="7"/>
      <c r="J470" s="7"/>
      <c r="M470" s="3"/>
    </row>
    <row r="471" ht="16.5" customHeight="1">
      <c r="G471" s="7"/>
      <c r="H471" s="7"/>
      <c r="I471" s="7"/>
      <c r="J471" s="7"/>
      <c r="M471" s="3"/>
    </row>
    <row r="472" ht="16.5" customHeight="1">
      <c r="G472" s="7"/>
      <c r="H472" s="7"/>
      <c r="I472" s="7"/>
      <c r="J472" s="7"/>
      <c r="M472" s="3"/>
    </row>
    <row r="473" ht="16.5" customHeight="1">
      <c r="G473" s="7"/>
      <c r="H473" s="7"/>
      <c r="I473" s="7"/>
      <c r="J473" s="7"/>
      <c r="M473" s="3"/>
    </row>
    <row r="474" ht="16.5" customHeight="1">
      <c r="G474" s="7"/>
      <c r="H474" s="7"/>
      <c r="I474" s="7"/>
      <c r="J474" s="7"/>
      <c r="M474" s="3"/>
    </row>
    <row r="475" ht="16.5" customHeight="1">
      <c r="G475" s="7"/>
      <c r="H475" s="7"/>
      <c r="I475" s="7"/>
      <c r="J475" s="7"/>
      <c r="M475" s="3"/>
    </row>
    <row r="476" ht="16.5" customHeight="1">
      <c r="G476" s="7"/>
      <c r="H476" s="7"/>
      <c r="I476" s="7"/>
      <c r="J476" s="7"/>
      <c r="M476" s="3"/>
    </row>
    <row r="477" ht="16.5" customHeight="1">
      <c r="G477" s="7"/>
      <c r="H477" s="7"/>
      <c r="I477" s="7"/>
      <c r="J477" s="7"/>
      <c r="M477" s="3"/>
    </row>
    <row r="478" ht="16.5" customHeight="1">
      <c r="G478" s="7"/>
      <c r="H478" s="7"/>
      <c r="I478" s="7"/>
      <c r="J478" s="7"/>
      <c r="M478" s="3"/>
    </row>
    <row r="479" ht="16.5" customHeight="1">
      <c r="G479" s="7"/>
      <c r="H479" s="7"/>
      <c r="I479" s="7"/>
      <c r="J479" s="7"/>
      <c r="M479" s="3"/>
    </row>
    <row r="480" ht="16.5" customHeight="1">
      <c r="G480" s="7"/>
      <c r="H480" s="7"/>
      <c r="I480" s="7"/>
      <c r="J480" s="7"/>
      <c r="M480" s="3"/>
    </row>
    <row r="481" ht="16.5" customHeight="1">
      <c r="G481" s="7"/>
      <c r="H481" s="7"/>
      <c r="I481" s="7"/>
      <c r="J481" s="7"/>
      <c r="M481" s="3"/>
    </row>
    <row r="482" ht="16.5" customHeight="1">
      <c r="G482" s="7"/>
      <c r="H482" s="7"/>
      <c r="I482" s="7"/>
      <c r="J482" s="7"/>
      <c r="M482" s="3"/>
    </row>
    <row r="483" ht="16.5" customHeight="1">
      <c r="G483" s="7"/>
      <c r="H483" s="7"/>
      <c r="I483" s="7"/>
      <c r="J483" s="7"/>
      <c r="M483" s="3"/>
    </row>
    <row r="484" ht="16.5" customHeight="1">
      <c r="G484" s="7"/>
      <c r="H484" s="7"/>
      <c r="I484" s="7"/>
      <c r="J484" s="7"/>
      <c r="M484" s="3"/>
    </row>
    <row r="485" ht="16.5" customHeight="1">
      <c r="G485" s="7"/>
      <c r="H485" s="7"/>
      <c r="I485" s="7"/>
      <c r="J485" s="7"/>
      <c r="M485" s="3"/>
    </row>
    <row r="486" ht="16.5" customHeight="1">
      <c r="G486" s="7"/>
      <c r="H486" s="7"/>
      <c r="I486" s="7"/>
      <c r="J486" s="7"/>
      <c r="M486" s="3"/>
    </row>
    <row r="487" ht="16.5" customHeight="1">
      <c r="G487" s="7"/>
      <c r="H487" s="7"/>
      <c r="I487" s="7"/>
      <c r="J487" s="7"/>
      <c r="M487" s="3"/>
    </row>
    <row r="488" ht="16.5" customHeight="1">
      <c r="G488" s="7"/>
      <c r="H488" s="7"/>
      <c r="I488" s="7"/>
      <c r="J488" s="7"/>
      <c r="M488" s="3"/>
    </row>
    <row r="489" ht="16.5" customHeight="1">
      <c r="G489" s="7"/>
      <c r="H489" s="7"/>
      <c r="I489" s="7"/>
      <c r="J489" s="7"/>
      <c r="M489" s="3"/>
    </row>
    <row r="490" ht="16.5" customHeight="1">
      <c r="G490" s="7"/>
      <c r="H490" s="7"/>
      <c r="I490" s="7"/>
      <c r="J490" s="7"/>
      <c r="M490" s="3"/>
    </row>
    <row r="491" ht="16.5" customHeight="1">
      <c r="G491" s="7"/>
      <c r="H491" s="7"/>
      <c r="I491" s="7"/>
      <c r="J491" s="7"/>
      <c r="M491" s="3"/>
    </row>
    <row r="492" ht="16.5" customHeight="1">
      <c r="G492" s="7"/>
      <c r="H492" s="7"/>
      <c r="I492" s="7"/>
      <c r="J492" s="7"/>
      <c r="M492" s="3"/>
    </row>
    <row r="493" ht="16.5" customHeight="1">
      <c r="G493" s="7"/>
      <c r="H493" s="7"/>
      <c r="I493" s="7"/>
      <c r="J493" s="7"/>
      <c r="M493" s="3"/>
    </row>
    <row r="494" ht="16.5" customHeight="1">
      <c r="G494" s="7"/>
      <c r="H494" s="7"/>
      <c r="I494" s="7"/>
      <c r="J494" s="7"/>
      <c r="M494" s="3"/>
    </row>
    <row r="495" ht="16.5" customHeight="1">
      <c r="G495" s="7"/>
      <c r="H495" s="7"/>
      <c r="I495" s="7"/>
      <c r="J495" s="7"/>
      <c r="M495" s="3"/>
    </row>
    <row r="496" ht="16.5" customHeight="1">
      <c r="G496" s="7"/>
      <c r="H496" s="7"/>
      <c r="I496" s="7"/>
      <c r="J496" s="7"/>
      <c r="M496" s="3"/>
    </row>
    <row r="497" ht="16.5" customHeight="1">
      <c r="G497" s="7"/>
      <c r="H497" s="7"/>
      <c r="I497" s="7"/>
      <c r="J497" s="7"/>
      <c r="M497" s="3"/>
    </row>
    <row r="498" ht="16.5" customHeight="1">
      <c r="G498" s="7"/>
      <c r="H498" s="7"/>
      <c r="I498" s="7"/>
      <c r="J498" s="7"/>
      <c r="M498" s="3"/>
    </row>
    <row r="499" ht="16.5" customHeight="1">
      <c r="G499" s="7"/>
      <c r="H499" s="7"/>
      <c r="I499" s="7"/>
      <c r="J499" s="7"/>
      <c r="M499" s="3"/>
    </row>
    <row r="500" ht="16.5" customHeight="1">
      <c r="G500" s="7"/>
      <c r="H500" s="7"/>
      <c r="I500" s="7"/>
      <c r="J500" s="7"/>
      <c r="M500" s="3"/>
    </row>
    <row r="501" ht="16.5" customHeight="1">
      <c r="G501" s="7"/>
      <c r="H501" s="7"/>
      <c r="I501" s="7"/>
      <c r="J501" s="7"/>
      <c r="M501" s="3"/>
    </row>
    <row r="502" ht="16.5" customHeight="1">
      <c r="G502" s="7"/>
      <c r="H502" s="7"/>
      <c r="I502" s="7"/>
      <c r="J502" s="7"/>
      <c r="M502" s="3"/>
    </row>
    <row r="503" ht="16.5" customHeight="1">
      <c r="G503" s="7"/>
      <c r="H503" s="7"/>
      <c r="I503" s="7"/>
      <c r="J503" s="7"/>
      <c r="M503" s="3"/>
    </row>
    <row r="504" ht="16.5" customHeight="1">
      <c r="G504" s="7"/>
      <c r="H504" s="7"/>
      <c r="I504" s="7"/>
      <c r="J504" s="7"/>
      <c r="M504" s="3"/>
    </row>
    <row r="505" ht="16.5" customHeight="1">
      <c r="G505" s="7"/>
      <c r="H505" s="7"/>
      <c r="I505" s="7"/>
      <c r="J505" s="7"/>
      <c r="M505" s="3"/>
    </row>
    <row r="506" ht="16.5" customHeight="1">
      <c r="G506" s="7"/>
      <c r="H506" s="7"/>
      <c r="I506" s="7"/>
      <c r="J506" s="7"/>
      <c r="M506" s="3"/>
    </row>
    <row r="507" ht="16.5" customHeight="1">
      <c r="G507" s="7"/>
      <c r="H507" s="7"/>
      <c r="I507" s="7"/>
      <c r="J507" s="7"/>
      <c r="M507" s="3"/>
    </row>
    <row r="508" ht="16.5" customHeight="1">
      <c r="G508" s="7"/>
      <c r="H508" s="7"/>
      <c r="I508" s="7"/>
      <c r="J508" s="7"/>
      <c r="M508" s="3"/>
    </row>
    <row r="509" ht="16.5" customHeight="1">
      <c r="G509" s="7"/>
      <c r="H509" s="7"/>
      <c r="I509" s="7"/>
      <c r="J509" s="7"/>
      <c r="M509" s="3"/>
    </row>
    <row r="510" ht="16.5" customHeight="1">
      <c r="G510" s="7"/>
      <c r="H510" s="7"/>
      <c r="I510" s="7"/>
      <c r="J510" s="7"/>
      <c r="M510" s="3"/>
    </row>
    <row r="511" ht="16.5" customHeight="1">
      <c r="G511" s="7"/>
      <c r="H511" s="7"/>
      <c r="I511" s="7"/>
      <c r="J511" s="7"/>
      <c r="M511" s="3"/>
    </row>
    <row r="512" ht="16.5" customHeight="1">
      <c r="G512" s="7"/>
      <c r="H512" s="7"/>
      <c r="I512" s="7"/>
      <c r="J512" s="7"/>
      <c r="M512" s="3"/>
    </row>
    <row r="513" ht="16.5" customHeight="1">
      <c r="G513" s="7"/>
      <c r="H513" s="7"/>
      <c r="I513" s="7"/>
      <c r="J513" s="7"/>
      <c r="M513" s="3"/>
    </row>
    <row r="514" ht="16.5" customHeight="1">
      <c r="G514" s="7"/>
      <c r="H514" s="7"/>
      <c r="I514" s="7"/>
      <c r="J514" s="7"/>
      <c r="M514" s="3"/>
    </row>
    <row r="515" ht="16.5" customHeight="1">
      <c r="G515" s="7"/>
      <c r="H515" s="7"/>
      <c r="I515" s="7"/>
      <c r="J515" s="7"/>
      <c r="M515" s="3"/>
    </row>
    <row r="516" ht="16.5" customHeight="1">
      <c r="G516" s="7"/>
      <c r="H516" s="7"/>
      <c r="I516" s="7"/>
      <c r="J516" s="7"/>
      <c r="M516" s="3"/>
    </row>
    <row r="517" ht="16.5" customHeight="1">
      <c r="G517" s="7"/>
      <c r="H517" s="7"/>
      <c r="I517" s="7"/>
      <c r="J517" s="7"/>
      <c r="M517" s="3"/>
    </row>
    <row r="518" ht="16.5" customHeight="1">
      <c r="G518" s="7"/>
      <c r="H518" s="7"/>
      <c r="I518" s="7"/>
      <c r="J518" s="7"/>
      <c r="M518" s="3"/>
    </row>
    <row r="519" ht="16.5" customHeight="1">
      <c r="G519" s="7"/>
      <c r="H519" s="7"/>
      <c r="I519" s="7"/>
      <c r="J519" s="7"/>
      <c r="M519" s="3"/>
    </row>
    <row r="520" ht="16.5" customHeight="1">
      <c r="G520" s="7"/>
      <c r="H520" s="7"/>
      <c r="I520" s="7"/>
      <c r="J520" s="7"/>
      <c r="M520" s="3"/>
    </row>
    <row r="521" ht="16.5" customHeight="1">
      <c r="G521" s="7"/>
      <c r="H521" s="7"/>
      <c r="I521" s="7"/>
      <c r="J521" s="7"/>
      <c r="M521" s="3"/>
    </row>
    <row r="522" ht="16.5" customHeight="1">
      <c r="G522" s="7"/>
      <c r="H522" s="7"/>
      <c r="I522" s="7"/>
      <c r="J522" s="7"/>
      <c r="M522" s="3"/>
    </row>
    <row r="523" ht="16.5" customHeight="1">
      <c r="G523" s="7"/>
      <c r="H523" s="7"/>
      <c r="I523" s="7"/>
      <c r="J523" s="7"/>
      <c r="M523" s="3"/>
    </row>
    <row r="524" ht="16.5" customHeight="1">
      <c r="G524" s="7"/>
      <c r="H524" s="7"/>
      <c r="I524" s="7"/>
      <c r="J524" s="7"/>
      <c r="M524" s="3"/>
    </row>
    <row r="525" ht="16.5" customHeight="1">
      <c r="G525" s="7"/>
      <c r="H525" s="7"/>
      <c r="I525" s="7"/>
      <c r="J525" s="7"/>
      <c r="M525" s="3"/>
    </row>
    <row r="526" ht="16.5" customHeight="1">
      <c r="G526" s="7"/>
      <c r="H526" s="7"/>
      <c r="I526" s="7"/>
      <c r="J526" s="7"/>
      <c r="M526" s="3"/>
    </row>
    <row r="527" ht="16.5" customHeight="1">
      <c r="G527" s="7"/>
      <c r="H527" s="7"/>
      <c r="I527" s="7"/>
      <c r="J527" s="7"/>
      <c r="M527" s="3"/>
    </row>
    <row r="528" ht="16.5" customHeight="1">
      <c r="G528" s="7"/>
      <c r="H528" s="7"/>
      <c r="I528" s="7"/>
      <c r="J528" s="7"/>
      <c r="M528" s="3"/>
    </row>
    <row r="529" ht="16.5" customHeight="1">
      <c r="G529" s="7"/>
      <c r="H529" s="7"/>
      <c r="I529" s="7"/>
      <c r="J529" s="7"/>
      <c r="M529" s="3"/>
    </row>
    <row r="530" ht="16.5" customHeight="1">
      <c r="G530" s="7"/>
      <c r="H530" s="7"/>
      <c r="I530" s="7"/>
      <c r="J530" s="7"/>
      <c r="M530" s="3"/>
    </row>
    <row r="531" ht="16.5" customHeight="1">
      <c r="G531" s="7"/>
      <c r="H531" s="7"/>
      <c r="I531" s="7"/>
      <c r="J531" s="7"/>
      <c r="M531" s="3"/>
    </row>
    <row r="532" ht="16.5" customHeight="1">
      <c r="G532" s="7"/>
      <c r="H532" s="7"/>
      <c r="I532" s="7"/>
      <c r="J532" s="7"/>
      <c r="M532" s="3"/>
    </row>
    <row r="533" ht="16.5" customHeight="1">
      <c r="G533" s="7"/>
      <c r="H533" s="7"/>
      <c r="I533" s="7"/>
      <c r="J533" s="7"/>
      <c r="M533" s="3"/>
    </row>
    <row r="534" ht="16.5" customHeight="1">
      <c r="G534" s="7"/>
      <c r="H534" s="7"/>
      <c r="I534" s="7"/>
      <c r="J534" s="7"/>
      <c r="M534" s="3"/>
    </row>
    <row r="535" ht="16.5" customHeight="1">
      <c r="G535" s="7"/>
      <c r="H535" s="7"/>
      <c r="I535" s="7"/>
      <c r="J535" s="7"/>
      <c r="M535" s="3"/>
    </row>
    <row r="536" ht="16.5" customHeight="1">
      <c r="G536" s="7"/>
      <c r="H536" s="7"/>
      <c r="I536" s="7"/>
      <c r="J536" s="7"/>
      <c r="M536" s="3"/>
    </row>
    <row r="537" ht="16.5" customHeight="1">
      <c r="G537" s="7"/>
      <c r="H537" s="7"/>
      <c r="I537" s="7"/>
      <c r="J537" s="7"/>
      <c r="M537" s="3"/>
    </row>
    <row r="538" ht="16.5" customHeight="1">
      <c r="G538" s="7"/>
      <c r="H538" s="7"/>
      <c r="I538" s="7"/>
      <c r="J538" s="7"/>
      <c r="M538" s="3"/>
    </row>
    <row r="539" ht="16.5" customHeight="1">
      <c r="G539" s="7"/>
      <c r="H539" s="7"/>
      <c r="I539" s="7"/>
      <c r="J539" s="7"/>
      <c r="M539" s="3"/>
    </row>
    <row r="540" ht="16.5" customHeight="1">
      <c r="G540" s="7"/>
      <c r="H540" s="7"/>
      <c r="I540" s="7"/>
      <c r="J540" s="7"/>
      <c r="M540" s="3"/>
    </row>
    <row r="541" ht="16.5" customHeight="1">
      <c r="G541" s="7"/>
      <c r="H541" s="7"/>
      <c r="I541" s="7"/>
      <c r="J541" s="7"/>
      <c r="M541" s="3"/>
    </row>
    <row r="542" ht="16.5" customHeight="1">
      <c r="G542" s="7"/>
      <c r="H542" s="7"/>
      <c r="I542" s="7"/>
      <c r="J542" s="7"/>
      <c r="M542" s="3"/>
    </row>
    <row r="543" ht="16.5" customHeight="1">
      <c r="G543" s="7"/>
      <c r="H543" s="7"/>
      <c r="I543" s="7"/>
      <c r="J543" s="7"/>
      <c r="M543" s="3"/>
    </row>
    <row r="544" ht="16.5" customHeight="1">
      <c r="G544" s="7"/>
      <c r="H544" s="7"/>
      <c r="I544" s="7"/>
      <c r="J544" s="7"/>
      <c r="M544" s="3"/>
    </row>
    <row r="545" ht="16.5" customHeight="1">
      <c r="G545" s="7"/>
      <c r="H545" s="7"/>
      <c r="I545" s="7"/>
      <c r="J545" s="7"/>
      <c r="M545" s="3"/>
    </row>
    <row r="546" ht="16.5" customHeight="1">
      <c r="G546" s="7"/>
      <c r="H546" s="7"/>
      <c r="I546" s="7"/>
      <c r="J546" s="7"/>
      <c r="M546" s="3"/>
    </row>
    <row r="547" ht="16.5" customHeight="1">
      <c r="G547" s="7"/>
      <c r="H547" s="7"/>
      <c r="I547" s="7"/>
      <c r="J547" s="7"/>
      <c r="M547" s="3"/>
    </row>
    <row r="548" ht="16.5" customHeight="1">
      <c r="G548" s="7"/>
      <c r="H548" s="7"/>
      <c r="I548" s="7"/>
      <c r="J548" s="7"/>
      <c r="M548" s="3"/>
    </row>
    <row r="549" ht="16.5" customHeight="1">
      <c r="G549" s="7"/>
      <c r="H549" s="7"/>
      <c r="I549" s="7"/>
      <c r="J549" s="7"/>
      <c r="M549" s="3"/>
    </row>
    <row r="550" ht="16.5" customHeight="1">
      <c r="G550" s="7"/>
      <c r="H550" s="7"/>
      <c r="I550" s="7"/>
      <c r="J550" s="7"/>
      <c r="M550" s="3"/>
    </row>
    <row r="551" ht="16.5" customHeight="1">
      <c r="G551" s="7"/>
      <c r="H551" s="7"/>
      <c r="I551" s="7"/>
      <c r="J551" s="7"/>
      <c r="M551" s="3"/>
    </row>
    <row r="552" ht="16.5" customHeight="1">
      <c r="G552" s="7"/>
      <c r="H552" s="7"/>
      <c r="I552" s="7"/>
      <c r="J552" s="7"/>
      <c r="M552" s="3"/>
    </row>
    <row r="553" ht="16.5" customHeight="1">
      <c r="G553" s="7"/>
      <c r="H553" s="7"/>
      <c r="I553" s="7"/>
      <c r="J553" s="7"/>
      <c r="M553" s="3"/>
    </row>
    <row r="554" ht="16.5" customHeight="1">
      <c r="G554" s="7"/>
      <c r="H554" s="7"/>
      <c r="I554" s="7"/>
      <c r="J554" s="7"/>
      <c r="M554" s="3"/>
    </row>
    <row r="555" ht="16.5" customHeight="1">
      <c r="G555" s="7"/>
      <c r="H555" s="7"/>
      <c r="I555" s="7"/>
      <c r="J555" s="7"/>
      <c r="M555" s="3"/>
    </row>
    <row r="556" ht="16.5" customHeight="1">
      <c r="G556" s="7"/>
      <c r="H556" s="7"/>
      <c r="I556" s="7"/>
      <c r="J556" s="7"/>
      <c r="M556" s="3"/>
    </row>
    <row r="557" ht="16.5" customHeight="1">
      <c r="G557" s="7"/>
      <c r="H557" s="7"/>
      <c r="I557" s="7"/>
      <c r="J557" s="7"/>
      <c r="M557" s="3"/>
    </row>
    <row r="558" ht="16.5" customHeight="1">
      <c r="G558" s="7"/>
      <c r="H558" s="7"/>
      <c r="I558" s="7"/>
      <c r="J558" s="7"/>
      <c r="M558" s="3"/>
    </row>
    <row r="559" ht="16.5" customHeight="1">
      <c r="G559" s="7"/>
      <c r="H559" s="7"/>
      <c r="I559" s="7"/>
      <c r="J559" s="7"/>
      <c r="M559" s="3"/>
    </row>
    <row r="560" ht="16.5" customHeight="1">
      <c r="G560" s="7"/>
      <c r="H560" s="7"/>
      <c r="I560" s="7"/>
      <c r="J560" s="7"/>
      <c r="M560" s="3"/>
    </row>
    <row r="561" ht="16.5" customHeight="1">
      <c r="G561" s="7"/>
      <c r="H561" s="7"/>
      <c r="I561" s="7"/>
      <c r="J561" s="7"/>
      <c r="M561" s="3"/>
    </row>
    <row r="562" ht="16.5" customHeight="1">
      <c r="G562" s="7"/>
      <c r="H562" s="7"/>
      <c r="I562" s="7"/>
      <c r="J562" s="7"/>
      <c r="M562" s="3"/>
    </row>
    <row r="563" ht="16.5" customHeight="1">
      <c r="G563" s="7"/>
      <c r="H563" s="7"/>
      <c r="I563" s="7"/>
      <c r="J563" s="7"/>
      <c r="M563" s="3"/>
    </row>
    <row r="564" ht="16.5" customHeight="1">
      <c r="G564" s="7"/>
      <c r="H564" s="7"/>
      <c r="I564" s="7"/>
      <c r="J564" s="7"/>
      <c r="M564" s="3"/>
    </row>
    <row r="565" ht="16.5" customHeight="1">
      <c r="G565" s="7"/>
      <c r="H565" s="7"/>
      <c r="I565" s="7"/>
      <c r="J565" s="7"/>
      <c r="M565" s="3"/>
    </row>
    <row r="566" ht="16.5" customHeight="1">
      <c r="G566" s="7"/>
      <c r="H566" s="7"/>
      <c r="I566" s="7"/>
      <c r="J566" s="7"/>
      <c r="M566" s="3"/>
    </row>
    <row r="567" ht="16.5" customHeight="1">
      <c r="G567" s="7"/>
      <c r="H567" s="7"/>
      <c r="I567" s="7"/>
      <c r="J567" s="7"/>
      <c r="M567" s="3"/>
    </row>
    <row r="568" ht="16.5" customHeight="1">
      <c r="G568" s="7"/>
      <c r="H568" s="7"/>
      <c r="I568" s="7"/>
      <c r="J568" s="7"/>
      <c r="M568" s="3"/>
    </row>
    <row r="569" ht="16.5" customHeight="1">
      <c r="G569" s="7"/>
      <c r="H569" s="7"/>
      <c r="I569" s="7"/>
      <c r="J569" s="7"/>
      <c r="M569" s="3"/>
    </row>
    <row r="570" ht="16.5" customHeight="1">
      <c r="G570" s="7"/>
      <c r="H570" s="7"/>
      <c r="I570" s="7"/>
      <c r="J570" s="7"/>
      <c r="M570" s="3"/>
    </row>
    <row r="571" ht="16.5" customHeight="1">
      <c r="G571" s="7"/>
      <c r="H571" s="7"/>
      <c r="I571" s="7"/>
      <c r="J571" s="7"/>
      <c r="M571" s="3"/>
    </row>
    <row r="572" ht="16.5" customHeight="1">
      <c r="G572" s="7"/>
      <c r="H572" s="7"/>
      <c r="I572" s="7"/>
      <c r="J572" s="7"/>
      <c r="M572" s="3"/>
    </row>
    <row r="573" ht="16.5" customHeight="1">
      <c r="G573" s="7"/>
      <c r="H573" s="7"/>
      <c r="I573" s="7"/>
      <c r="J573" s="7"/>
      <c r="M573" s="3"/>
    </row>
    <row r="574" ht="16.5" customHeight="1">
      <c r="G574" s="7"/>
      <c r="H574" s="7"/>
      <c r="I574" s="7"/>
      <c r="J574" s="7"/>
      <c r="M574" s="3"/>
    </row>
    <row r="575" ht="16.5" customHeight="1">
      <c r="G575" s="7"/>
      <c r="H575" s="7"/>
      <c r="I575" s="7"/>
      <c r="J575" s="7"/>
      <c r="M575" s="3"/>
    </row>
    <row r="576" ht="16.5" customHeight="1">
      <c r="G576" s="7"/>
      <c r="H576" s="7"/>
      <c r="I576" s="7"/>
      <c r="J576" s="7"/>
      <c r="M576" s="3"/>
    </row>
    <row r="577" ht="16.5" customHeight="1">
      <c r="G577" s="7"/>
      <c r="H577" s="7"/>
      <c r="I577" s="7"/>
      <c r="J577" s="7"/>
      <c r="M577" s="3"/>
    </row>
    <row r="578" ht="16.5" customHeight="1">
      <c r="G578" s="7"/>
      <c r="H578" s="7"/>
      <c r="I578" s="7"/>
      <c r="J578" s="7"/>
      <c r="M578" s="3"/>
    </row>
    <row r="579" ht="16.5" customHeight="1">
      <c r="G579" s="7"/>
      <c r="H579" s="7"/>
      <c r="I579" s="7"/>
      <c r="J579" s="7"/>
      <c r="M579" s="3"/>
    </row>
    <row r="580" ht="16.5" customHeight="1">
      <c r="G580" s="7"/>
      <c r="H580" s="7"/>
      <c r="I580" s="7"/>
      <c r="J580" s="7"/>
      <c r="M580" s="3"/>
    </row>
    <row r="581" ht="16.5" customHeight="1">
      <c r="G581" s="7"/>
      <c r="H581" s="7"/>
      <c r="I581" s="7"/>
      <c r="J581" s="7"/>
      <c r="M581" s="3"/>
    </row>
    <row r="582" ht="16.5" customHeight="1">
      <c r="G582" s="7"/>
      <c r="H582" s="7"/>
      <c r="I582" s="7"/>
      <c r="J582" s="7"/>
      <c r="M582" s="3"/>
    </row>
    <row r="583" ht="16.5" customHeight="1">
      <c r="G583" s="7"/>
      <c r="H583" s="7"/>
      <c r="I583" s="7"/>
      <c r="J583" s="7"/>
      <c r="M583" s="3"/>
    </row>
    <row r="584" ht="16.5" customHeight="1">
      <c r="G584" s="7"/>
      <c r="H584" s="7"/>
      <c r="I584" s="7"/>
      <c r="J584" s="7"/>
      <c r="M584" s="3"/>
    </row>
    <row r="585" ht="16.5" customHeight="1">
      <c r="G585" s="7"/>
      <c r="H585" s="7"/>
      <c r="I585" s="7"/>
      <c r="J585" s="7"/>
      <c r="M585" s="3"/>
    </row>
    <row r="586" ht="16.5" customHeight="1">
      <c r="G586" s="7"/>
      <c r="H586" s="7"/>
      <c r="I586" s="7"/>
      <c r="J586" s="7"/>
      <c r="M586" s="3"/>
    </row>
    <row r="587" ht="16.5" customHeight="1">
      <c r="G587" s="7"/>
      <c r="H587" s="7"/>
      <c r="I587" s="7"/>
      <c r="J587" s="7"/>
      <c r="M587" s="3"/>
    </row>
    <row r="588" ht="16.5" customHeight="1">
      <c r="G588" s="7"/>
      <c r="H588" s="7"/>
      <c r="I588" s="7"/>
      <c r="J588" s="7"/>
      <c r="M588" s="3"/>
    </row>
    <row r="589" ht="16.5" customHeight="1">
      <c r="G589" s="7"/>
      <c r="H589" s="7"/>
      <c r="I589" s="7"/>
      <c r="J589" s="7"/>
      <c r="M589" s="3"/>
    </row>
    <row r="590" ht="16.5" customHeight="1">
      <c r="G590" s="7"/>
      <c r="H590" s="7"/>
      <c r="I590" s="7"/>
      <c r="J590" s="7"/>
      <c r="M590" s="3"/>
    </row>
    <row r="591" ht="16.5" customHeight="1">
      <c r="G591" s="7"/>
      <c r="H591" s="7"/>
      <c r="I591" s="7"/>
      <c r="J591" s="7"/>
      <c r="M591" s="3"/>
    </row>
    <row r="592" ht="16.5" customHeight="1">
      <c r="G592" s="7"/>
      <c r="H592" s="7"/>
      <c r="I592" s="7"/>
      <c r="J592" s="7"/>
      <c r="M592" s="3"/>
    </row>
    <row r="593" ht="16.5" customHeight="1">
      <c r="G593" s="7"/>
      <c r="H593" s="7"/>
      <c r="I593" s="7"/>
      <c r="J593" s="7"/>
      <c r="M593" s="3"/>
    </row>
    <row r="594" ht="16.5" customHeight="1">
      <c r="G594" s="7"/>
      <c r="H594" s="7"/>
      <c r="I594" s="7"/>
      <c r="J594" s="7"/>
      <c r="M594" s="3"/>
    </row>
    <row r="595" ht="16.5" customHeight="1">
      <c r="G595" s="7"/>
      <c r="H595" s="7"/>
      <c r="I595" s="7"/>
      <c r="J595" s="7"/>
      <c r="M595" s="3"/>
    </row>
    <row r="596" ht="16.5" customHeight="1">
      <c r="G596" s="7"/>
      <c r="H596" s="7"/>
      <c r="I596" s="7"/>
      <c r="J596" s="7"/>
      <c r="M596" s="3"/>
    </row>
    <row r="597" ht="16.5" customHeight="1">
      <c r="G597" s="7"/>
      <c r="H597" s="7"/>
      <c r="I597" s="7"/>
      <c r="J597" s="7"/>
      <c r="M597" s="3"/>
    </row>
    <row r="598" ht="16.5" customHeight="1">
      <c r="G598" s="7"/>
      <c r="H598" s="7"/>
      <c r="I598" s="7"/>
      <c r="J598" s="7"/>
      <c r="M598" s="3"/>
    </row>
    <row r="599" ht="16.5" customHeight="1">
      <c r="G599" s="7"/>
      <c r="H599" s="7"/>
      <c r="I599" s="7"/>
      <c r="J599" s="7"/>
      <c r="M599" s="3"/>
    </row>
    <row r="600" ht="16.5" customHeight="1">
      <c r="G600" s="7"/>
      <c r="H600" s="7"/>
      <c r="I600" s="7"/>
      <c r="J600" s="7"/>
      <c r="M600" s="3"/>
    </row>
    <row r="601" ht="16.5" customHeight="1">
      <c r="G601" s="7"/>
      <c r="H601" s="7"/>
      <c r="I601" s="7"/>
      <c r="J601" s="7"/>
      <c r="M601" s="3"/>
    </row>
    <row r="602" ht="16.5" customHeight="1">
      <c r="G602" s="7"/>
      <c r="H602" s="7"/>
      <c r="I602" s="7"/>
      <c r="J602" s="7"/>
      <c r="M602" s="3"/>
    </row>
    <row r="603" ht="16.5" customHeight="1">
      <c r="G603" s="7"/>
      <c r="H603" s="7"/>
      <c r="I603" s="7"/>
      <c r="J603" s="7"/>
      <c r="M603" s="3"/>
    </row>
    <row r="604" ht="16.5" customHeight="1">
      <c r="G604" s="7"/>
      <c r="H604" s="7"/>
      <c r="I604" s="7"/>
      <c r="J604" s="7"/>
      <c r="M604" s="3"/>
    </row>
    <row r="605" ht="16.5" customHeight="1">
      <c r="G605" s="7"/>
      <c r="H605" s="7"/>
      <c r="I605" s="7"/>
      <c r="J605" s="7"/>
      <c r="M605" s="3"/>
    </row>
    <row r="606" ht="16.5" customHeight="1">
      <c r="G606" s="7"/>
      <c r="H606" s="7"/>
      <c r="I606" s="7"/>
      <c r="J606" s="7"/>
      <c r="M606" s="3"/>
    </row>
    <row r="607" ht="16.5" customHeight="1">
      <c r="G607" s="7"/>
      <c r="H607" s="7"/>
      <c r="I607" s="7"/>
      <c r="J607" s="7"/>
      <c r="M607" s="3"/>
    </row>
    <row r="608" ht="16.5" customHeight="1">
      <c r="G608" s="7"/>
      <c r="H608" s="7"/>
      <c r="I608" s="7"/>
      <c r="J608" s="7"/>
      <c r="M608" s="3"/>
    </row>
    <row r="609" ht="16.5" customHeight="1">
      <c r="G609" s="7"/>
      <c r="H609" s="7"/>
      <c r="I609" s="7"/>
      <c r="J609" s="7"/>
      <c r="M609" s="3"/>
    </row>
    <row r="610" ht="16.5" customHeight="1">
      <c r="G610" s="7"/>
      <c r="H610" s="7"/>
      <c r="I610" s="7"/>
      <c r="J610" s="7"/>
      <c r="M610" s="3"/>
    </row>
    <row r="611" ht="16.5" customHeight="1">
      <c r="G611" s="7"/>
      <c r="H611" s="7"/>
      <c r="I611" s="7"/>
      <c r="J611" s="7"/>
      <c r="M611" s="3"/>
    </row>
    <row r="612" ht="16.5" customHeight="1">
      <c r="G612" s="7"/>
      <c r="H612" s="7"/>
      <c r="I612" s="7"/>
      <c r="J612" s="7"/>
      <c r="M612" s="3"/>
    </row>
    <row r="613" ht="16.5" customHeight="1">
      <c r="G613" s="7"/>
      <c r="H613" s="7"/>
      <c r="I613" s="7"/>
      <c r="J613" s="7"/>
      <c r="M613" s="3"/>
    </row>
    <row r="614" ht="16.5" customHeight="1">
      <c r="G614" s="7"/>
      <c r="H614" s="7"/>
      <c r="I614" s="7"/>
      <c r="J614" s="7"/>
      <c r="M614" s="3"/>
    </row>
    <row r="615" ht="16.5" customHeight="1">
      <c r="G615" s="7"/>
      <c r="H615" s="7"/>
      <c r="I615" s="7"/>
      <c r="J615" s="7"/>
      <c r="M615" s="3"/>
    </row>
    <row r="616" ht="16.5" customHeight="1">
      <c r="G616" s="7"/>
      <c r="H616" s="7"/>
      <c r="I616" s="7"/>
      <c r="J616" s="7"/>
      <c r="M616" s="3"/>
    </row>
    <row r="617" ht="16.5" customHeight="1">
      <c r="G617" s="7"/>
      <c r="H617" s="7"/>
      <c r="I617" s="7"/>
      <c r="J617" s="7"/>
      <c r="M617" s="3"/>
    </row>
    <row r="618" ht="16.5" customHeight="1">
      <c r="G618" s="7"/>
      <c r="H618" s="7"/>
      <c r="I618" s="7"/>
      <c r="J618" s="7"/>
      <c r="M618" s="3"/>
    </row>
    <row r="619" ht="16.5" customHeight="1">
      <c r="G619" s="7"/>
      <c r="H619" s="7"/>
      <c r="I619" s="7"/>
      <c r="J619" s="7"/>
      <c r="M619" s="3"/>
    </row>
    <row r="620" ht="16.5" customHeight="1">
      <c r="G620" s="7"/>
      <c r="H620" s="7"/>
      <c r="I620" s="7"/>
      <c r="J620" s="7"/>
      <c r="M620" s="3"/>
    </row>
    <row r="621" ht="16.5" customHeight="1">
      <c r="G621" s="7"/>
      <c r="H621" s="7"/>
      <c r="I621" s="7"/>
      <c r="J621" s="7"/>
      <c r="M621" s="3"/>
    </row>
    <row r="622" ht="16.5" customHeight="1">
      <c r="G622" s="7"/>
      <c r="H622" s="7"/>
      <c r="I622" s="7"/>
      <c r="J622" s="7"/>
      <c r="M622" s="3"/>
    </row>
    <row r="623" ht="16.5" customHeight="1">
      <c r="G623" s="7"/>
      <c r="H623" s="7"/>
      <c r="I623" s="7"/>
      <c r="J623" s="7"/>
      <c r="M623" s="3"/>
    </row>
    <row r="624" ht="16.5" customHeight="1">
      <c r="G624" s="7"/>
      <c r="H624" s="7"/>
      <c r="I624" s="7"/>
      <c r="J624" s="7"/>
      <c r="M624" s="3"/>
    </row>
    <row r="625" ht="16.5" customHeight="1">
      <c r="G625" s="7"/>
      <c r="H625" s="7"/>
      <c r="I625" s="7"/>
      <c r="J625" s="7"/>
      <c r="M625" s="3"/>
    </row>
    <row r="626" ht="16.5" customHeight="1">
      <c r="G626" s="7"/>
      <c r="H626" s="7"/>
      <c r="I626" s="7"/>
      <c r="J626" s="7"/>
      <c r="M626" s="3"/>
    </row>
    <row r="627" ht="16.5" customHeight="1">
      <c r="G627" s="7"/>
      <c r="H627" s="7"/>
      <c r="I627" s="7"/>
      <c r="J627" s="7"/>
      <c r="M627" s="3"/>
    </row>
    <row r="628" ht="16.5" customHeight="1">
      <c r="G628" s="7"/>
      <c r="H628" s="7"/>
      <c r="I628" s="7"/>
      <c r="J628" s="7"/>
      <c r="M628" s="3"/>
    </row>
    <row r="629" ht="16.5" customHeight="1">
      <c r="G629" s="7"/>
      <c r="H629" s="7"/>
      <c r="I629" s="7"/>
      <c r="J629" s="7"/>
      <c r="M629" s="3"/>
    </row>
    <row r="630" ht="16.5" customHeight="1">
      <c r="G630" s="7"/>
      <c r="H630" s="7"/>
      <c r="I630" s="7"/>
      <c r="J630" s="7"/>
      <c r="M630" s="3"/>
    </row>
    <row r="631" ht="16.5" customHeight="1">
      <c r="G631" s="7"/>
      <c r="H631" s="7"/>
      <c r="I631" s="7"/>
      <c r="J631" s="7"/>
      <c r="M631" s="3"/>
    </row>
    <row r="632" ht="16.5" customHeight="1">
      <c r="G632" s="7"/>
      <c r="H632" s="7"/>
      <c r="I632" s="7"/>
      <c r="J632" s="7"/>
      <c r="M632" s="3"/>
    </row>
    <row r="633" ht="16.5" customHeight="1">
      <c r="G633" s="7"/>
      <c r="H633" s="7"/>
      <c r="I633" s="7"/>
      <c r="J633" s="7"/>
      <c r="M633" s="3"/>
    </row>
    <row r="634" ht="16.5" customHeight="1">
      <c r="G634" s="7"/>
      <c r="H634" s="7"/>
      <c r="I634" s="7"/>
      <c r="J634" s="7"/>
      <c r="M634" s="3"/>
    </row>
    <row r="635" ht="16.5" customHeight="1">
      <c r="G635" s="7"/>
      <c r="H635" s="7"/>
      <c r="I635" s="7"/>
      <c r="J635" s="7"/>
      <c r="M635" s="3"/>
    </row>
    <row r="636" ht="16.5" customHeight="1">
      <c r="G636" s="7"/>
      <c r="H636" s="7"/>
      <c r="I636" s="7"/>
      <c r="J636" s="7"/>
      <c r="M636" s="3"/>
    </row>
    <row r="637" ht="16.5" customHeight="1">
      <c r="G637" s="7"/>
      <c r="H637" s="7"/>
      <c r="I637" s="7"/>
      <c r="J637" s="7"/>
      <c r="M637" s="3"/>
    </row>
    <row r="638" ht="16.5" customHeight="1">
      <c r="G638" s="7"/>
      <c r="H638" s="7"/>
      <c r="I638" s="7"/>
      <c r="J638" s="7"/>
      <c r="M638" s="3"/>
    </row>
    <row r="639" ht="16.5" customHeight="1">
      <c r="G639" s="7"/>
      <c r="H639" s="7"/>
      <c r="I639" s="7"/>
      <c r="J639" s="7"/>
      <c r="M639" s="3"/>
    </row>
    <row r="640" ht="16.5" customHeight="1">
      <c r="G640" s="7"/>
      <c r="H640" s="7"/>
      <c r="I640" s="7"/>
      <c r="J640" s="7"/>
      <c r="M640" s="3"/>
    </row>
    <row r="641" ht="16.5" customHeight="1">
      <c r="G641" s="7"/>
      <c r="H641" s="7"/>
      <c r="I641" s="7"/>
      <c r="J641" s="7"/>
      <c r="M641" s="3"/>
    </row>
    <row r="642" ht="16.5" customHeight="1">
      <c r="G642" s="7"/>
      <c r="H642" s="7"/>
      <c r="I642" s="7"/>
      <c r="J642" s="7"/>
      <c r="M642" s="3"/>
    </row>
    <row r="643" ht="16.5" customHeight="1">
      <c r="G643" s="7"/>
      <c r="H643" s="7"/>
      <c r="I643" s="7"/>
      <c r="J643" s="7"/>
      <c r="M643" s="3"/>
    </row>
    <row r="644" ht="16.5" customHeight="1">
      <c r="G644" s="7"/>
      <c r="H644" s="7"/>
      <c r="I644" s="7"/>
      <c r="J644" s="7"/>
      <c r="M644" s="3"/>
    </row>
    <row r="645" ht="16.5" customHeight="1">
      <c r="G645" s="7"/>
      <c r="H645" s="7"/>
      <c r="I645" s="7"/>
      <c r="J645" s="7"/>
      <c r="M645" s="3"/>
    </row>
    <row r="646" ht="16.5" customHeight="1">
      <c r="G646" s="7"/>
      <c r="H646" s="7"/>
      <c r="I646" s="7"/>
      <c r="J646" s="7"/>
      <c r="M646" s="3"/>
    </row>
    <row r="647" ht="16.5" customHeight="1">
      <c r="G647" s="7"/>
      <c r="H647" s="7"/>
      <c r="I647" s="7"/>
      <c r="J647" s="7"/>
      <c r="M647" s="3"/>
    </row>
    <row r="648" ht="16.5" customHeight="1">
      <c r="G648" s="7"/>
      <c r="H648" s="7"/>
      <c r="I648" s="7"/>
      <c r="J648" s="7"/>
      <c r="M648" s="3"/>
    </row>
    <row r="649" ht="16.5" customHeight="1">
      <c r="G649" s="7"/>
      <c r="H649" s="7"/>
      <c r="I649" s="7"/>
      <c r="J649" s="7"/>
      <c r="M649" s="3"/>
    </row>
    <row r="650" ht="16.5" customHeight="1">
      <c r="G650" s="7"/>
      <c r="H650" s="7"/>
      <c r="I650" s="7"/>
      <c r="J650" s="7"/>
      <c r="M650" s="3"/>
    </row>
    <row r="651" ht="16.5" customHeight="1">
      <c r="G651" s="7"/>
      <c r="H651" s="7"/>
      <c r="I651" s="7"/>
      <c r="J651" s="7"/>
      <c r="M651" s="3"/>
    </row>
    <row r="652" ht="16.5" customHeight="1">
      <c r="G652" s="7"/>
      <c r="H652" s="7"/>
      <c r="I652" s="7"/>
      <c r="J652" s="7"/>
      <c r="M652" s="3"/>
    </row>
    <row r="653" ht="16.5" customHeight="1">
      <c r="G653" s="7"/>
      <c r="H653" s="7"/>
      <c r="I653" s="7"/>
      <c r="J653" s="7"/>
      <c r="M653" s="3"/>
    </row>
    <row r="654" ht="16.5" customHeight="1">
      <c r="G654" s="7"/>
      <c r="H654" s="7"/>
      <c r="I654" s="7"/>
      <c r="J654" s="7"/>
      <c r="M654" s="3"/>
    </row>
    <row r="655" ht="16.5" customHeight="1">
      <c r="G655" s="7"/>
      <c r="H655" s="7"/>
      <c r="I655" s="7"/>
      <c r="J655" s="7"/>
      <c r="M655" s="3"/>
    </row>
    <row r="656" ht="16.5" customHeight="1">
      <c r="G656" s="7"/>
      <c r="H656" s="7"/>
      <c r="I656" s="7"/>
      <c r="J656" s="7"/>
      <c r="M656" s="3"/>
    </row>
    <row r="657" ht="16.5" customHeight="1">
      <c r="G657" s="7"/>
      <c r="H657" s="7"/>
      <c r="I657" s="7"/>
      <c r="J657" s="7"/>
      <c r="M657" s="3"/>
    </row>
    <row r="658" ht="16.5" customHeight="1">
      <c r="G658" s="7"/>
      <c r="H658" s="7"/>
      <c r="I658" s="7"/>
      <c r="J658" s="7"/>
      <c r="M658" s="3"/>
    </row>
    <row r="659" ht="16.5" customHeight="1">
      <c r="G659" s="7"/>
      <c r="H659" s="7"/>
      <c r="I659" s="7"/>
      <c r="J659" s="7"/>
      <c r="M659" s="3"/>
    </row>
    <row r="660" ht="16.5" customHeight="1">
      <c r="G660" s="7"/>
      <c r="H660" s="7"/>
      <c r="I660" s="7"/>
      <c r="J660" s="7"/>
      <c r="M660" s="3"/>
    </row>
    <row r="661" ht="16.5" customHeight="1">
      <c r="G661" s="7"/>
      <c r="H661" s="7"/>
      <c r="I661" s="7"/>
      <c r="J661" s="7"/>
      <c r="M661" s="3"/>
    </row>
    <row r="662" ht="16.5" customHeight="1">
      <c r="G662" s="7"/>
      <c r="H662" s="7"/>
      <c r="I662" s="7"/>
      <c r="J662" s="7"/>
      <c r="M662" s="3"/>
    </row>
    <row r="663" ht="16.5" customHeight="1">
      <c r="G663" s="7"/>
      <c r="H663" s="7"/>
      <c r="I663" s="7"/>
      <c r="J663" s="7"/>
      <c r="M663" s="3"/>
    </row>
    <row r="664" ht="16.5" customHeight="1">
      <c r="G664" s="7"/>
      <c r="H664" s="7"/>
      <c r="I664" s="7"/>
      <c r="J664" s="7"/>
      <c r="M664" s="3"/>
    </row>
    <row r="665" ht="16.5" customHeight="1">
      <c r="G665" s="7"/>
      <c r="H665" s="7"/>
      <c r="I665" s="7"/>
      <c r="J665" s="7"/>
      <c r="M665" s="3"/>
    </row>
    <row r="666" ht="16.5" customHeight="1">
      <c r="G666" s="7"/>
      <c r="H666" s="7"/>
      <c r="I666" s="7"/>
      <c r="J666" s="7"/>
      <c r="M666" s="3"/>
    </row>
    <row r="667" ht="16.5" customHeight="1">
      <c r="G667" s="7"/>
      <c r="H667" s="7"/>
      <c r="I667" s="7"/>
      <c r="J667" s="7"/>
      <c r="M667" s="3"/>
    </row>
    <row r="668" ht="16.5" customHeight="1">
      <c r="G668" s="7"/>
      <c r="H668" s="7"/>
      <c r="I668" s="7"/>
      <c r="J668" s="7"/>
      <c r="M668" s="3"/>
    </row>
    <row r="669" ht="16.5" customHeight="1">
      <c r="G669" s="7"/>
      <c r="H669" s="7"/>
      <c r="I669" s="7"/>
      <c r="J669" s="7"/>
      <c r="M669" s="3"/>
    </row>
    <row r="670" ht="16.5" customHeight="1">
      <c r="G670" s="7"/>
      <c r="H670" s="7"/>
      <c r="I670" s="7"/>
      <c r="J670" s="7"/>
      <c r="M670" s="3"/>
    </row>
    <row r="671" ht="16.5" customHeight="1">
      <c r="G671" s="7"/>
      <c r="H671" s="7"/>
      <c r="I671" s="7"/>
      <c r="J671" s="7"/>
      <c r="M671" s="3"/>
    </row>
    <row r="672" ht="16.5" customHeight="1">
      <c r="G672" s="7"/>
      <c r="H672" s="7"/>
      <c r="I672" s="7"/>
      <c r="J672" s="7"/>
      <c r="M672" s="3"/>
    </row>
    <row r="673" ht="16.5" customHeight="1">
      <c r="G673" s="7"/>
      <c r="H673" s="7"/>
      <c r="I673" s="7"/>
      <c r="J673" s="7"/>
      <c r="M673" s="3"/>
    </row>
    <row r="674" ht="16.5" customHeight="1">
      <c r="G674" s="7"/>
      <c r="H674" s="7"/>
      <c r="I674" s="7"/>
      <c r="J674" s="7"/>
      <c r="M674" s="3"/>
    </row>
    <row r="675" ht="16.5" customHeight="1">
      <c r="G675" s="7"/>
      <c r="H675" s="7"/>
      <c r="I675" s="7"/>
      <c r="J675" s="7"/>
      <c r="M675" s="3"/>
    </row>
    <row r="676" ht="16.5" customHeight="1">
      <c r="G676" s="7"/>
      <c r="H676" s="7"/>
      <c r="I676" s="7"/>
      <c r="J676" s="7"/>
      <c r="M676" s="3"/>
    </row>
    <row r="677" ht="16.5" customHeight="1">
      <c r="G677" s="7"/>
      <c r="H677" s="7"/>
      <c r="I677" s="7"/>
      <c r="J677" s="7"/>
      <c r="M677" s="3"/>
    </row>
    <row r="678" ht="16.5" customHeight="1">
      <c r="G678" s="7"/>
      <c r="H678" s="7"/>
      <c r="I678" s="7"/>
      <c r="J678" s="7"/>
      <c r="M678" s="3"/>
    </row>
    <row r="679" ht="16.5" customHeight="1">
      <c r="G679" s="7"/>
      <c r="H679" s="7"/>
      <c r="I679" s="7"/>
      <c r="J679" s="7"/>
      <c r="M679" s="3"/>
    </row>
    <row r="680" ht="16.5" customHeight="1">
      <c r="G680" s="7"/>
      <c r="H680" s="7"/>
      <c r="I680" s="7"/>
      <c r="J680" s="7"/>
      <c r="M680" s="3"/>
    </row>
    <row r="681" ht="16.5" customHeight="1">
      <c r="G681" s="7"/>
      <c r="H681" s="7"/>
      <c r="I681" s="7"/>
      <c r="J681" s="7"/>
      <c r="M681" s="3"/>
    </row>
    <row r="682" ht="16.5" customHeight="1">
      <c r="G682" s="7"/>
      <c r="H682" s="7"/>
      <c r="I682" s="7"/>
      <c r="J682" s="7"/>
      <c r="M682" s="3"/>
    </row>
    <row r="683" ht="16.5" customHeight="1">
      <c r="G683" s="7"/>
      <c r="H683" s="7"/>
      <c r="I683" s="7"/>
      <c r="J683" s="7"/>
      <c r="M683" s="3"/>
    </row>
    <row r="684" ht="16.5" customHeight="1">
      <c r="G684" s="7"/>
      <c r="H684" s="7"/>
      <c r="I684" s="7"/>
      <c r="J684" s="7"/>
      <c r="M684" s="3"/>
    </row>
    <row r="685" ht="16.5" customHeight="1">
      <c r="G685" s="7"/>
      <c r="H685" s="7"/>
      <c r="I685" s="7"/>
      <c r="J685" s="7"/>
      <c r="M685" s="3"/>
    </row>
    <row r="686" ht="16.5" customHeight="1">
      <c r="G686" s="7"/>
      <c r="H686" s="7"/>
      <c r="I686" s="7"/>
      <c r="J686" s="7"/>
      <c r="M686" s="3"/>
    </row>
    <row r="687" ht="16.5" customHeight="1">
      <c r="G687" s="7"/>
      <c r="H687" s="7"/>
      <c r="I687" s="7"/>
      <c r="J687" s="7"/>
      <c r="M687" s="3"/>
    </row>
    <row r="688" ht="16.5" customHeight="1">
      <c r="G688" s="7"/>
      <c r="H688" s="7"/>
      <c r="I688" s="7"/>
      <c r="J688" s="7"/>
      <c r="M688" s="3"/>
    </row>
    <row r="689" ht="16.5" customHeight="1">
      <c r="G689" s="7"/>
      <c r="H689" s="7"/>
      <c r="I689" s="7"/>
      <c r="J689" s="7"/>
      <c r="M689" s="3"/>
    </row>
    <row r="690" ht="16.5" customHeight="1">
      <c r="G690" s="7"/>
      <c r="H690" s="7"/>
      <c r="I690" s="7"/>
      <c r="J690" s="7"/>
      <c r="M690" s="3"/>
    </row>
    <row r="691" ht="16.5" customHeight="1">
      <c r="G691" s="7"/>
      <c r="H691" s="7"/>
      <c r="I691" s="7"/>
      <c r="J691" s="7"/>
      <c r="M691" s="3"/>
    </row>
    <row r="692" ht="16.5" customHeight="1">
      <c r="G692" s="7"/>
      <c r="H692" s="7"/>
      <c r="I692" s="7"/>
      <c r="J692" s="7"/>
      <c r="M692" s="3"/>
    </row>
    <row r="693" ht="16.5" customHeight="1">
      <c r="G693" s="7"/>
      <c r="H693" s="7"/>
      <c r="I693" s="7"/>
      <c r="J693" s="7"/>
      <c r="M693" s="3"/>
    </row>
    <row r="694" ht="16.5" customHeight="1">
      <c r="G694" s="7"/>
      <c r="H694" s="7"/>
      <c r="I694" s="7"/>
      <c r="J694" s="7"/>
      <c r="M694" s="3"/>
    </row>
    <row r="695" ht="16.5" customHeight="1">
      <c r="G695" s="7"/>
      <c r="H695" s="7"/>
      <c r="I695" s="7"/>
      <c r="J695" s="7"/>
      <c r="M695" s="3"/>
    </row>
    <row r="696" ht="16.5" customHeight="1">
      <c r="G696" s="7"/>
      <c r="H696" s="7"/>
      <c r="I696" s="7"/>
      <c r="J696" s="7"/>
      <c r="M696" s="3"/>
    </row>
    <row r="697" ht="16.5" customHeight="1">
      <c r="G697" s="7"/>
      <c r="H697" s="7"/>
      <c r="I697" s="7"/>
      <c r="J697" s="7"/>
      <c r="M697" s="3"/>
    </row>
    <row r="698" ht="16.5" customHeight="1">
      <c r="G698" s="7"/>
      <c r="H698" s="7"/>
      <c r="I698" s="7"/>
      <c r="J698" s="7"/>
      <c r="M698" s="3"/>
    </row>
    <row r="699" ht="16.5" customHeight="1">
      <c r="G699" s="7"/>
      <c r="H699" s="7"/>
      <c r="I699" s="7"/>
      <c r="J699" s="7"/>
      <c r="M699" s="3"/>
    </row>
    <row r="700" ht="16.5" customHeight="1">
      <c r="G700" s="7"/>
      <c r="H700" s="7"/>
      <c r="I700" s="7"/>
      <c r="J700" s="7"/>
      <c r="M700" s="3"/>
    </row>
    <row r="701" ht="16.5" customHeight="1">
      <c r="G701" s="7"/>
      <c r="H701" s="7"/>
      <c r="I701" s="7"/>
      <c r="J701" s="7"/>
      <c r="M701" s="3"/>
    </row>
    <row r="702" ht="16.5" customHeight="1">
      <c r="G702" s="7"/>
      <c r="H702" s="7"/>
      <c r="I702" s="7"/>
      <c r="J702" s="7"/>
      <c r="M702" s="3"/>
    </row>
    <row r="703" ht="16.5" customHeight="1">
      <c r="G703" s="7"/>
      <c r="H703" s="7"/>
      <c r="I703" s="7"/>
      <c r="J703" s="7"/>
      <c r="M703" s="3"/>
    </row>
    <row r="704" ht="16.5" customHeight="1">
      <c r="G704" s="7"/>
      <c r="H704" s="7"/>
      <c r="I704" s="7"/>
      <c r="J704" s="7"/>
      <c r="M704" s="3"/>
    </row>
    <row r="705" ht="16.5" customHeight="1">
      <c r="G705" s="7"/>
      <c r="H705" s="7"/>
      <c r="I705" s="7"/>
      <c r="J705" s="7"/>
      <c r="M705" s="3"/>
    </row>
    <row r="706" ht="16.5" customHeight="1">
      <c r="G706" s="7"/>
      <c r="H706" s="7"/>
      <c r="I706" s="7"/>
      <c r="J706" s="7"/>
      <c r="M706" s="3"/>
    </row>
    <row r="707" ht="16.5" customHeight="1">
      <c r="G707" s="7"/>
      <c r="H707" s="7"/>
      <c r="I707" s="7"/>
      <c r="J707" s="7"/>
      <c r="M707" s="3"/>
    </row>
    <row r="708" ht="16.5" customHeight="1">
      <c r="G708" s="7"/>
      <c r="H708" s="7"/>
      <c r="I708" s="7"/>
      <c r="J708" s="7"/>
      <c r="M708" s="3"/>
    </row>
    <row r="709" ht="16.5" customHeight="1">
      <c r="G709" s="7"/>
      <c r="H709" s="7"/>
      <c r="I709" s="7"/>
      <c r="J709" s="7"/>
      <c r="M709" s="3"/>
    </row>
    <row r="710" ht="16.5" customHeight="1">
      <c r="G710" s="7"/>
      <c r="H710" s="7"/>
      <c r="I710" s="7"/>
      <c r="J710" s="7"/>
      <c r="M710" s="3"/>
    </row>
    <row r="711" ht="16.5" customHeight="1">
      <c r="G711" s="7"/>
      <c r="H711" s="7"/>
      <c r="I711" s="7"/>
      <c r="J711" s="7"/>
      <c r="M711" s="3"/>
    </row>
    <row r="712" ht="16.5" customHeight="1">
      <c r="G712" s="7"/>
      <c r="H712" s="7"/>
      <c r="I712" s="7"/>
      <c r="J712" s="7"/>
      <c r="M712" s="3"/>
    </row>
    <row r="713" ht="16.5" customHeight="1">
      <c r="G713" s="7"/>
      <c r="H713" s="7"/>
      <c r="I713" s="7"/>
      <c r="J713" s="7"/>
      <c r="M713" s="3"/>
    </row>
    <row r="714" ht="16.5" customHeight="1">
      <c r="G714" s="7"/>
      <c r="H714" s="7"/>
      <c r="I714" s="7"/>
      <c r="J714" s="7"/>
      <c r="M714" s="3"/>
    </row>
    <row r="715" ht="16.5" customHeight="1">
      <c r="G715" s="7"/>
      <c r="H715" s="7"/>
      <c r="I715" s="7"/>
      <c r="J715" s="7"/>
      <c r="M715" s="3"/>
    </row>
    <row r="716" ht="16.5" customHeight="1">
      <c r="G716" s="7"/>
      <c r="H716" s="7"/>
      <c r="I716" s="7"/>
      <c r="J716" s="7"/>
      <c r="M716" s="3"/>
    </row>
    <row r="717" ht="16.5" customHeight="1">
      <c r="G717" s="7"/>
      <c r="H717" s="7"/>
      <c r="I717" s="7"/>
      <c r="J717" s="7"/>
      <c r="M717" s="3"/>
    </row>
    <row r="718" ht="16.5" customHeight="1">
      <c r="G718" s="7"/>
      <c r="H718" s="7"/>
      <c r="I718" s="7"/>
      <c r="J718" s="7"/>
      <c r="M718" s="3"/>
    </row>
    <row r="719" ht="16.5" customHeight="1">
      <c r="G719" s="7"/>
      <c r="H719" s="7"/>
      <c r="I719" s="7"/>
      <c r="J719" s="7"/>
      <c r="M719" s="3"/>
    </row>
    <row r="720" ht="16.5" customHeight="1">
      <c r="G720" s="7"/>
      <c r="H720" s="7"/>
      <c r="I720" s="7"/>
      <c r="J720" s="7"/>
      <c r="M720" s="3"/>
    </row>
    <row r="721" ht="16.5" customHeight="1">
      <c r="G721" s="7"/>
      <c r="H721" s="7"/>
      <c r="I721" s="7"/>
      <c r="J721" s="7"/>
      <c r="M721" s="3"/>
    </row>
    <row r="722" ht="16.5" customHeight="1">
      <c r="G722" s="7"/>
      <c r="H722" s="7"/>
      <c r="I722" s="7"/>
      <c r="J722" s="7"/>
      <c r="M722" s="3"/>
    </row>
    <row r="723" ht="16.5" customHeight="1">
      <c r="G723" s="7"/>
      <c r="H723" s="7"/>
      <c r="I723" s="7"/>
      <c r="J723" s="7"/>
      <c r="M723" s="3"/>
    </row>
    <row r="724" ht="16.5" customHeight="1">
      <c r="G724" s="7"/>
      <c r="H724" s="7"/>
      <c r="I724" s="7"/>
      <c r="J724" s="7"/>
      <c r="M724" s="3"/>
    </row>
    <row r="725" ht="16.5" customHeight="1">
      <c r="G725" s="7"/>
      <c r="H725" s="7"/>
      <c r="I725" s="7"/>
      <c r="J725" s="7"/>
      <c r="M725" s="3"/>
    </row>
    <row r="726" ht="16.5" customHeight="1">
      <c r="G726" s="7"/>
      <c r="H726" s="7"/>
      <c r="I726" s="7"/>
      <c r="J726" s="7"/>
      <c r="M726" s="3"/>
    </row>
    <row r="727" ht="16.5" customHeight="1">
      <c r="G727" s="7"/>
      <c r="H727" s="7"/>
      <c r="I727" s="7"/>
      <c r="J727" s="7"/>
      <c r="M727" s="3"/>
    </row>
    <row r="728" ht="16.5" customHeight="1">
      <c r="G728" s="7"/>
      <c r="H728" s="7"/>
      <c r="I728" s="7"/>
      <c r="J728" s="7"/>
      <c r="M728" s="3"/>
    </row>
    <row r="729" ht="16.5" customHeight="1">
      <c r="G729" s="7"/>
      <c r="H729" s="7"/>
      <c r="I729" s="7"/>
      <c r="J729" s="7"/>
      <c r="M729" s="3"/>
    </row>
    <row r="730" ht="16.5" customHeight="1">
      <c r="G730" s="7"/>
      <c r="H730" s="7"/>
      <c r="I730" s="7"/>
      <c r="J730" s="7"/>
      <c r="M730" s="3"/>
    </row>
    <row r="731" ht="16.5" customHeight="1">
      <c r="G731" s="7"/>
      <c r="H731" s="7"/>
      <c r="I731" s="7"/>
      <c r="J731" s="7"/>
      <c r="M731" s="3"/>
    </row>
    <row r="732" ht="16.5" customHeight="1">
      <c r="G732" s="7"/>
      <c r="H732" s="7"/>
      <c r="I732" s="7"/>
      <c r="J732" s="7"/>
      <c r="M732" s="3"/>
    </row>
    <row r="733" ht="16.5" customHeight="1">
      <c r="G733" s="7"/>
      <c r="H733" s="7"/>
      <c r="I733" s="7"/>
      <c r="J733" s="7"/>
      <c r="M733" s="3"/>
    </row>
    <row r="734" ht="16.5" customHeight="1">
      <c r="G734" s="7"/>
      <c r="H734" s="7"/>
      <c r="I734" s="7"/>
      <c r="J734" s="7"/>
      <c r="M734" s="3"/>
    </row>
    <row r="735" ht="16.5" customHeight="1">
      <c r="G735" s="7"/>
      <c r="H735" s="7"/>
      <c r="I735" s="7"/>
      <c r="J735" s="7"/>
      <c r="M735" s="3"/>
    </row>
    <row r="736" ht="16.5" customHeight="1">
      <c r="G736" s="7"/>
      <c r="H736" s="7"/>
      <c r="I736" s="7"/>
      <c r="J736" s="7"/>
      <c r="M736" s="3"/>
    </row>
    <row r="737" ht="16.5" customHeight="1">
      <c r="G737" s="7"/>
      <c r="H737" s="7"/>
      <c r="I737" s="7"/>
      <c r="J737" s="7"/>
      <c r="M737" s="3"/>
    </row>
    <row r="738" ht="16.5" customHeight="1">
      <c r="G738" s="7"/>
      <c r="H738" s="7"/>
      <c r="I738" s="7"/>
      <c r="J738" s="7"/>
      <c r="M738" s="3"/>
    </row>
    <row r="739" ht="16.5" customHeight="1">
      <c r="G739" s="7"/>
      <c r="H739" s="7"/>
      <c r="I739" s="7"/>
      <c r="J739" s="7"/>
      <c r="M739" s="3"/>
    </row>
    <row r="740" ht="16.5" customHeight="1">
      <c r="G740" s="7"/>
      <c r="H740" s="7"/>
      <c r="I740" s="7"/>
      <c r="J740" s="7"/>
      <c r="M740" s="3"/>
    </row>
    <row r="741" ht="16.5" customHeight="1">
      <c r="G741" s="7"/>
      <c r="H741" s="7"/>
      <c r="I741" s="7"/>
      <c r="J741" s="7"/>
      <c r="M741" s="3"/>
    </row>
    <row r="742" ht="16.5" customHeight="1">
      <c r="G742" s="7"/>
      <c r="H742" s="7"/>
      <c r="I742" s="7"/>
      <c r="J742" s="7"/>
      <c r="M742" s="3"/>
    </row>
    <row r="743" ht="16.5" customHeight="1">
      <c r="G743" s="7"/>
      <c r="H743" s="7"/>
      <c r="I743" s="7"/>
      <c r="J743" s="7"/>
      <c r="M743" s="3"/>
    </row>
    <row r="744" ht="16.5" customHeight="1">
      <c r="G744" s="7"/>
      <c r="H744" s="7"/>
      <c r="I744" s="7"/>
      <c r="J744" s="7"/>
      <c r="M744" s="3"/>
    </row>
    <row r="745" ht="16.5" customHeight="1">
      <c r="G745" s="7"/>
      <c r="H745" s="7"/>
      <c r="I745" s="7"/>
      <c r="J745" s="7"/>
      <c r="M745" s="3"/>
    </row>
    <row r="746" ht="16.5" customHeight="1">
      <c r="G746" s="7"/>
      <c r="H746" s="7"/>
      <c r="I746" s="7"/>
      <c r="J746" s="7"/>
      <c r="M746" s="3"/>
    </row>
    <row r="747" ht="16.5" customHeight="1">
      <c r="G747" s="7"/>
      <c r="H747" s="7"/>
      <c r="I747" s="7"/>
      <c r="J747" s="7"/>
      <c r="M747" s="3"/>
    </row>
    <row r="748" ht="16.5" customHeight="1">
      <c r="G748" s="7"/>
      <c r="H748" s="7"/>
      <c r="I748" s="7"/>
      <c r="J748" s="7"/>
      <c r="M748" s="3"/>
    </row>
    <row r="749" ht="16.5" customHeight="1">
      <c r="G749" s="7"/>
      <c r="H749" s="7"/>
      <c r="I749" s="7"/>
      <c r="J749" s="7"/>
      <c r="M749" s="3"/>
    </row>
    <row r="750" ht="16.5" customHeight="1">
      <c r="G750" s="7"/>
      <c r="H750" s="7"/>
      <c r="I750" s="7"/>
      <c r="J750" s="7"/>
      <c r="M750" s="3"/>
    </row>
    <row r="751" ht="16.5" customHeight="1">
      <c r="G751" s="7"/>
      <c r="H751" s="7"/>
      <c r="I751" s="7"/>
      <c r="J751" s="7"/>
      <c r="M751" s="3"/>
    </row>
    <row r="752" ht="16.5" customHeight="1">
      <c r="G752" s="7"/>
      <c r="H752" s="7"/>
      <c r="I752" s="7"/>
      <c r="J752" s="7"/>
      <c r="M752" s="3"/>
    </row>
    <row r="753" ht="16.5" customHeight="1">
      <c r="G753" s="7"/>
      <c r="H753" s="7"/>
      <c r="I753" s="7"/>
      <c r="J753" s="7"/>
      <c r="M753" s="3"/>
    </row>
    <row r="754" ht="16.5" customHeight="1">
      <c r="G754" s="7"/>
      <c r="H754" s="7"/>
      <c r="I754" s="7"/>
      <c r="J754" s="7"/>
      <c r="M754" s="3"/>
    </row>
    <row r="755" ht="16.5" customHeight="1">
      <c r="G755" s="7"/>
      <c r="H755" s="7"/>
      <c r="I755" s="7"/>
      <c r="J755" s="7"/>
      <c r="M755" s="3"/>
    </row>
    <row r="756" ht="16.5" customHeight="1">
      <c r="G756" s="7"/>
      <c r="H756" s="7"/>
      <c r="I756" s="7"/>
      <c r="J756" s="7"/>
      <c r="M756" s="3"/>
    </row>
    <row r="757" ht="16.5" customHeight="1">
      <c r="G757" s="7"/>
      <c r="H757" s="7"/>
      <c r="I757" s="7"/>
      <c r="J757" s="7"/>
      <c r="M757" s="3"/>
    </row>
    <row r="758" ht="16.5" customHeight="1">
      <c r="G758" s="7"/>
      <c r="H758" s="7"/>
      <c r="I758" s="7"/>
      <c r="J758" s="7"/>
      <c r="M758" s="3"/>
    </row>
    <row r="759" ht="16.5" customHeight="1">
      <c r="G759" s="7"/>
      <c r="H759" s="7"/>
      <c r="I759" s="7"/>
      <c r="J759" s="7"/>
      <c r="M759" s="3"/>
    </row>
    <row r="760" ht="16.5" customHeight="1">
      <c r="G760" s="7"/>
      <c r="H760" s="7"/>
      <c r="I760" s="7"/>
      <c r="J760" s="7"/>
      <c r="M760" s="3"/>
    </row>
    <row r="761" ht="16.5" customHeight="1">
      <c r="G761" s="7"/>
      <c r="H761" s="7"/>
      <c r="I761" s="7"/>
      <c r="J761" s="7"/>
      <c r="M761" s="3"/>
    </row>
    <row r="762" ht="16.5" customHeight="1">
      <c r="G762" s="7"/>
      <c r="H762" s="7"/>
      <c r="I762" s="7"/>
      <c r="J762" s="7"/>
      <c r="M762" s="3"/>
    </row>
    <row r="763" ht="16.5" customHeight="1">
      <c r="G763" s="7"/>
      <c r="H763" s="7"/>
      <c r="I763" s="7"/>
      <c r="J763" s="7"/>
      <c r="M763" s="3"/>
    </row>
    <row r="764" ht="16.5" customHeight="1">
      <c r="G764" s="7"/>
      <c r="H764" s="7"/>
      <c r="I764" s="7"/>
      <c r="J764" s="7"/>
      <c r="M764" s="3"/>
    </row>
    <row r="765" ht="16.5" customHeight="1">
      <c r="G765" s="7"/>
      <c r="H765" s="7"/>
      <c r="I765" s="7"/>
      <c r="J765" s="7"/>
      <c r="M765" s="3"/>
    </row>
    <row r="766" ht="16.5" customHeight="1">
      <c r="G766" s="7"/>
      <c r="H766" s="7"/>
      <c r="I766" s="7"/>
      <c r="J766" s="7"/>
      <c r="M766" s="3"/>
    </row>
    <row r="767" ht="16.5" customHeight="1">
      <c r="G767" s="7"/>
      <c r="H767" s="7"/>
      <c r="I767" s="7"/>
      <c r="J767" s="7"/>
      <c r="M767" s="3"/>
    </row>
    <row r="768" ht="16.5" customHeight="1">
      <c r="G768" s="7"/>
      <c r="H768" s="7"/>
      <c r="I768" s="7"/>
      <c r="J768" s="7"/>
      <c r="M768" s="3"/>
    </row>
    <row r="769" ht="16.5" customHeight="1">
      <c r="G769" s="7"/>
      <c r="H769" s="7"/>
      <c r="I769" s="7"/>
      <c r="J769" s="7"/>
      <c r="M769" s="3"/>
    </row>
    <row r="770" ht="16.5" customHeight="1">
      <c r="G770" s="7"/>
      <c r="H770" s="7"/>
      <c r="I770" s="7"/>
      <c r="J770" s="7"/>
      <c r="M770" s="3"/>
    </row>
    <row r="771" ht="16.5" customHeight="1">
      <c r="G771" s="7"/>
      <c r="H771" s="7"/>
      <c r="I771" s="7"/>
      <c r="J771" s="7"/>
      <c r="M771" s="3"/>
    </row>
    <row r="772" ht="16.5" customHeight="1">
      <c r="G772" s="7"/>
      <c r="H772" s="7"/>
      <c r="I772" s="7"/>
      <c r="J772" s="7"/>
      <c r="M772" s="3"/>
    </row>
    <row r="773" ht="16.5" customHeight="1">
      <c r="G773" s="7"/>
      <c r="H773" s="7"/>
      <c r="I773" s="7"/>
      <c r="J773" s="7"/>
      <c r="M773" s="3"/>
    </row>
    <row r="774" ht="16.5" customHeight="1">
      <c r="G774" s="7"/>
      <c r="H774" s="7"/>
      <c r="I774" s="7"/>
      <c r="J774" s="7"/>
      <c r="M774" s="3"/>
    </row>
    <row r="775" ht="16.5" customHeight="1">
      <c r="G775" s="7"/>
      <c r="H775" s="7"/>
      <c r="I775" s="7"/>
      <c r="J775" s="7"/>
      <c r="M775" s="3"/>
    </row>
    <row r="776" ht="16.5" customHeight="1">
      <c r="G776" s="7"/>
      <c r="H776" s="7"/>
      <c r="I776" s="7"/>
      <c r="J776" s="7"/>
      <c r="M776" s="3"/>
    </row>
    <row r="777" ht="16.5" customHeight="1">
      <c r="G777" s="7"/>
      <c r="H777" s="7"/>
      <c r="I777" s="7"/>
      <c r="J777" s="7"/>
      <c r="M777" s="3"/>
    </row>
    <row r="778" ht="16.5" customHeight="1">
      <c r="G778" s="7"/>
      <c r="H778" s="7"/>
      <c r="I778" s="7"/>
      <c r="J778" s="7"/>
      <c r="M778" s="3"/>
    </row>
    <row r="779" ht="16.5" customHeight="1">
      <c r="G779" s="7"/>
      <c r="H779" s="7"/>
      <c r="I779" s="7"/>
      <c r="J779" s="7"/>
      <c r="M779" s="3"/>
    </row>
    <row r="780" ht="16.5" customHeight="1">
      <c r="G780" s="7"/>
      <c r="H780" s="7"/>
      <c r="I780" s="7"/>
      <c r="J780" s="7"/>
      <c r="M780" s="3"/>
    </row>
    <row r="781" ht="16.5" customHeight="1">
      <c r="G781" s="7"/>
      <c r="H781" s="7"/>
      <c r="I781" s="7"/>
      <c r="J781" s="7"/>
      <c r="M781" s="3"/>
    </row>
    <row r="782" ht="16.5" customHeight="1">
      <c r="G782" s="7"/>
      <c r="H782" s="7"/>
      <c r="I782" s="7"/>
      <c r="J782" s="7"/>
      <c r="M782" s="3"/>
    </row>
    <row r="783" ht="16.5" customHeight="1">
      <c r="G783" s="7"/>
      <c r="H783" s="7"/>
      <c r="I783" s="7"/>
      <c r="J783" s="7"/>
      <c r="M783" s="3"/>
    </row>
    <row r="784" ht="16.5" customHeight="1">
      <c r="G784" s="7"/>
      <c r="H784" s="7"/>
      <c r="I784" s="7"/>
      <c r="J784" s="7"/>
      <c r="M784" s="3"/>
    </row>
    <row r="785" ht="16.5" customHeight="1">
      <c r="G785" s="7"/>
      <c r="H785" s="7"/>
      <c r="I785" s="7"/>
      <c r="J785" s="7"/>
      <c r="M785" s="3"/>
    </row>
    <row r="786" ht="16.5" customHeight="1">
      <c r="G786" s="7"/>
      <c r="H786" s="7"/>
      <c r="I786" s="7"/>
      <c r="J786" s="7"/>
      <c r="M786" s="3"/>
    </row>
    <row r="787" ht="16.5" customHeight="1">
      <c r="G787" s="7"/>
      <c r="H787" s="7"/>
      <c r="I787" s="7"/>
      <c r="J787" s="7"/>
      <c r="M787" s="3"/>
    </row>
    <row r="788" ht="16.5" customHeight="1">
      <c r="G788" s="7"/>
      <c r="H788" s="7"/>
      <c r="I788" s="7"/>
      <c r="J788" s="7"/>
      <c r="M788" s="3"/>
    </row>
    <row r="789" ht="16.5" customHeight="1">
      <c r="G789" s="7"/>
      <c r="H789" s="7"/>
      <c r="I789" s="7"/>
      <c r="J789" s="7"/>
      <c r="M789" s="3"/>
    </row>
    <row r="790" ht="16.5" customHeight="1">
      <c r="G790" s="7"/>
      <c r="H790" s="7"/>
      <c r="I790" s="7"/>
      <c r="J790" s="7"/>
      <c r="M790" s="3"/>
    </row>
    <row r="791" ht="16.5" customHeight="1">
      <c r="G791" s="7"/>
      <c r="H791" s="7"/>
      <c r="I791" s="7"/>
      <c r="J791" s="7"/>
      <c r="M791" s="3"/>
    </row>
    <row r="792" ht="16.5" customHeight="1">
      <c r="G792" s="7"/>
      <c r="H792" s="7"/>
      <c r="I792" s="7"/>
      <c r="J792" s="7"/>
      <c r="M792" s="3"/>
    </row>
    <row r="793" ht="16.5" customHeight="1">
      <c r="G793" s="7"/>
      <c r="H793" s="7"/>
      <c r="I793" s="7"/>
      <c r="J793" s="7"/>
      <c r="M793" s="3"/>
    </row>
    <row r="794" ht="16.5" customHeight="1">
      <c r="G794" s="7"/>
      <c r="H794" s="7"/>
      <c r="I794" s="7"/>
      <c r="J794" s="7"/>
      <c r="M794" s="3"/>
    </row>
    <row r="795" ht="16.5" customHeight="1">
      <c r="G795" s="7"/>
      <c r="H795" s="7"/>
      <c r="I795" s="7"/>
      <c r="J795" s="7"/>
      <c r="M795" s="3"/>
    </row>
    <row r="796" ht="16.5" customHeight="1">
      <c r="G796" s="7"/>
      <c r="H796" s="7"/>
      <c r="I796" s="7"/>
      <c r="J796" s="7"/>
      <c r="M796" s="3"/>
    </row>
    <row r="797" ht="16.5" customHeight="1">
      <c r="G797" s="7"/>
      <c r="H797" s="7"/>
      <c r="I797" s="7"/>
      <c r="J797" s="7"/>
      <c r="M797" s="3"/>
    </row>
    <row r="798" ht="16.5" customHeight="1">
      <c r="G798" s="7"/>
      <c r="H798" s="7"/>
      <c r="I798" s="7"/>
      <c r="J798" s="7"/>
      <c r="M798" s="3"/>
    </row>
    <row r="799" ht="16.5" customHeight="1">
      <c r="G799" s="7"/>
      <c r="H799" s="7"/>
      <c r="I799" s="7"/>
      <c r="J799" s="7"/>
      <c r="M799" s="3"/>
    </row>
    <row r="800" ht="16.5" customHeight="1">
      <c r="G800" s="7"/>
      <c r="H800" s="7"/>
      <c r="I800" s="7"/>
      <c r="J800" s="7"/>
      <c r="M800" s="3"/>
    </row>
    <row r="801" ht="16.5" customHeight="1">
      <c r="G801" s="7"/>
      <c r="H801" s="7"/>
      <c r="I801" s="7"/>
      <c r="J801" s="7"/>
      <c r="M801" s="3"/>
    </row>
    <row r="802" ht="16.5" customHeight="1">
      <c r="G802" s="7"/>
      <c r="H802" s="7"/>
      <c r="I802" s="7"/>
      <c r="J802" s="7"/>
      <c r="M802" s="3"/>
    </row>
    <row r="803" ht="16.5" customHeight="1">
      <c r="G803" s="7"/>
      <c r="H803" s="7"/>
      <c r="I803" s="7"/>
      <c r="J803" s="7"/>
      <c r="M803" s="3"/>
    </row>
    <row r="804" ht="16.5" customHeight="1">
      <c r="G804" s="7"/>
      <c r="H804" s="7"/>
      <c r="I804" s="7"/>
      <c r="J804" s="7"/>
      <c r="M804" s="3"/>
    </row>
    <row r="805" ht="16.5" customHeight="1">
      <c r="G805" s="7"/>
      <c r="H805" s="7"/>
      <c r="I805" s="7"/>
      <c r="J805" s="7"/>
      <c r="M805" s="3"/>
    </row>
    <row r="806" ht="16.5" customHeight="1">
      <c r="G806" s="7"/>
      <c r="H806" s="7"/>
      <c r="I806" s="7"/>
      <c r="J806" s="7"/>
      <c r="M806" s="3"/>
    </row>
    <row r="807" ht="16.5" customHeight="1">
      <c r="G807" s="7"/>
      <c r="H807" s="7"/>
      <c r="I807" s="7"/>
      <c r="J807" s="7"/>
      <c r="M807" s="3"/>
    </row>
    <row r="808" ht="16.5" customHeight="1">
      <c r="G808" s="7"/>
      <c r="H808" s="7"/>
      <c r="I808" s="7"/>
      <c r="J808" s="7"/>
      <c r="M808" s="3"/>
    </row>
    <row r="809" ht="16.5" customHeight="1">
      <c r="G809" s="7"/>
      <c r="H809" s="7"/>
      <c r="I809" s="7"/>
      <c r="J809" s="7"/>
      <c r="M809" s="3"/>
    </row>
    <row r="810" ht="16.5" customHeight="1">
      <c r="G810" s="7"/>
      <c r="H810" s="7"/>
      <c r="I810" s="7"/>
      <c r="J810" s="7"/>
      <c r="M810" s="3"/>
    </row>
    <row r="811" ht="16.5" customHeight="1">
      <c r="G811" s="7"/>
      <c r="H811" s="7"/>
      <c r="I811" s="7"/>
      <c r="J811" s="7"/>
      <c r="M811" s="3"/>
    </row>
    <row r="812" ht="16.5" customHeight="1">
      <c r="G812" s="7"/>
      <c r="H812" s="7"/>
      <c r="I812" s="7"/>
      <c r="J812" s="7"/>
      <c r="M812" s="3"/>
    </row>
    <row r="813" ht="16.5" customHeight="1">
      <c r="G813" s="7"/>
      <c r="H813" s="7"/>
      <c r="I813" s="7"/>
      <c r="J813" s="7"/>
      <c r="M813" s="3"/>
    </row>
    <row r="814" ht="16.5" customHeight="1">
      <c r="G814" s="7"/>
      <c r="H814" s="7"/>
      <c r="I814" s="7"/>
      <c r="J814" s="7"/>
      <c r="M814" s="3"/>
    </row>
    <row r="815" ht="16.5" customHeight="1">
      <c r="G815" s="7"/>
      <c r="H815" s="7"/>
      <c r="I815" s="7"/>
      <c r="J815" s="7"/>
      <c r="M815" s="3"/>
    </row>
    <row r="816" ht="16.5" customHeight="1">
      <c r="G816" s="7"/>
      <c r="H816" s="7"/>
      <c r="I816" s="7"/>
      <c r="J816" s="7"/>
      <c r="M816" s="3"/>
    </row>
    <row r="817" ht="16.5" customHeight="1">
      <c r="G817" s="7"/>
      <c r="H817" s="7"/>
      <c r="I817" s="7"/>
      <c r="J817" s="7"/>
      <c r="M817" s="3"/>
    </row>
    <row r="818" ht="16.5" customHeight="1">
      <c r="G818" s="7"/>
      <c r="H818" s="7"/>
      <c r="I818" s="7"/>
      <c r="J818" s="7"/>
      <c r="M818" s="3"/>
    </row>
    <row r="819" ht="16.5" customHeight="1">
      <c r="G819" s="7"/>
      <c r="H819" s="7"/>
      <c r="I819" s="7"/>
      <c r="J819" s="7"/>
      <c r="M819" s="3"/>
    </row>
    <row r="820" ht="16.5" customHeight="1">
      <c r="G820" s="7"/>
      <c r="H820" s="7"/>
      <c r="I820" s="7"/>
      <c r="J820" s="7"/>
      <c r="M820" s="3"/>
    </row>
    <row r="821" ht="16.5" customHeight="1">
      <c r="G821" s="7"/>
      <c r="H821" s="7"/>
      <c r="I821" s="7"/>
      <c r="J821" s="7"/>
      <c r="M821" s="3"/>
    </row>
    <row r="822" ht="16.5" customHeight="1">
      <c r="G822" s="7"/>
      <c r="H822" s="7"/>
      <c r="I822" s="7"/>
      <c r="J822" s="7"/>
      <c r="M822" s="3"/>
    </row>
    <row r="823" ht="16.5" customHeight="1">
      <c r="G823" s="7"/>
      <c r="H823" s="7"/>
      <c r="I823" s="7"/>
      <c r="J823" s="7"/>
      <c r="M823" s="3"/>
    </row>
    <row r="824" ht="16.5" customHeight="1">
      <c r="G824" s="7"/>
      <c r="H824" s="7"/>
      <c r="I824" s="7"/>
      <c r="J824" s="7"/>
      <c r="M824" s="3"/>
    </row>
    <row r="825" ht="16.5" customHeight="1">
      <c r="G825" s="7"/>
      <c r="H825" s="7"/>
      <c r="I825" s="7"/>
      <c r="J825" s="7"/>
      <c r="M825" s="3"/>
    </row>
    <row r="826" ht="16.5" customHeight="1">
      <c r="G826" s="7"/>
      <c r="H826" s="7"/>
      <c r="I826" s="7"/>
      <c r="J826" s="7"/>
      <c r="M826" s="3"/>
    </row>
    <row r="827" ht="16.5" customHeight="1">
      <c r="G827" s="7"/>
      <c r="H827" s="7"/>
      <c r="I827" s="7"/>
      <c r="J827" s="7"/>
      <c r="M827" s="3"/>
    </row>
    <row r="828" ht="16.5" customHeight="1">
      <c r="G828" s="7"/>
      <c r="H828" s="7"/>
      <c r="I828" s="7"/>
      <c r="J828" s="7"/>
      <c r="M828" s="3"/>
    </row>
    <row r="829" ht="16.5" customHeight="1">
      <c r="G829" s="7"/>
      <c r="H829" s="7"/>
      <c r="I829" s="7"/>
      <c r="J829" s="7"/>
      <c r="M829" s="3"/>
    </row>
    <row r="830" ht="16.5" customHeight="1">
      <c r="G830" s="7"/>
      <c r="H830" s="7"/>
      <c r="I830" s="7"/>
      <c r="J830" s="7"/>
      <c r="M830" s="3"/>
    </row>
    <row r="831" ht="16.5" customHeight="1">
      <c r="G831" s="7"/>
      <c r="H831" s="7"/>
      <c r="I831" s="7"/>
      <c r="J831" s="7"/>
      <c r="M831" s="3"/>
    </row>
    <row r="832" ht="16.5" customHeight="1">
      <c r="G832" s="7"/>
      <c r="H832" s="7"/>
      <c r="I832" s="7"/>
      <c r="J832" s="7"/>
      <c r="M832" s="3"/>
    </row>
    <row r="833" ht="16.5" customHeight="1">
      <c r="G833" s="7"/>
      <c r="H833" s="7"/>
      <c r="I833" s="7"/>
      <c r="J833" s="7"/>
      <c r="M833" s="3"/>
    </row>
    <row r="834" ht="16.5" customHeight="1">
      <c r="G834" s="7"/>
      <c r="H834" s="7"/>
      <c r="I834" s="7"/>
      <c r="J834" s="7"/>
      <c r="M834" s="3"/>
    </row>
    <row r="835" ht="16.5" customHeight="1">
      <c r="G835" s="7"/>
      <c r="H835" s="7"/>
      <c r="I835" s="7"/>
      <c r="J835" s="7"/>
      <c r="M835" s="3"/>
    </row>
    <row r="836" ht="16.5" customHeight="1">
      <c r="G836" s="7"/>
      <c r="H836" s="7"/>
      <c r="I836" s="7"/>
      <c r="J836" s="7"/>
      <c r="M836" s="3"/>
    </row>
    <row r="837" ht="16.5" customHeight="1">
      <c r="G837" s="7"/>
      <c r="H837" s="7"/>
      <c r="I837" s="7"/>
      <c r="J837" s="7"/>
      <c r="M837" s="3"/>
    </row>
    <row r="838" ht="16.5" customHeight="1">
      <c r="G838" s="7"/>
      <c r="H838" s="7"/>
      <c r="I838" s="7"/>
      <c r="J838" s="7"/>
      <c r="M838" s="3"/>
    </row>
    <row r="839" ht="16.5" customHeight="1">
      <c r="G839" s="7"/>
      <c r="H839" s="7"/>
      <c r="I839" s="7"/>
      <c r="J839" s="7"/>
      <c r="M839" s="3"/>
    </row>
    <row r="840" ht="16.5" customHeight="1">
      <c r="G840" s="7"/>
      <c r="H840" s="7"/>
      <c r="I840" s="7"/>
      <c r="J840" s="7"/>
      <c r="M840" s="3"/>
    </row>
    <row r="841" ht="16.5" customHeight="1">
      <c r="G841" s="7"/>
      <c r="H841" s="7"/>
      <c r="I841" s="7"/>
      <c r="J841" s="7"/>
      <c r="M841" s="3"/>
    </row>
    <row r="842" ht="16.5" customHeight="1">
      <c r="G842" s="7"/>
      <c r="H842" s="7"/>
      <c r="I842" s="7"/>
      <c r="J842" s="7"/>
      <c r="M842" s="3"/>
    </row>
    <row r="843" ht="16.5" customHeight="1">
      <c r="G843" s="7"/>
      <c r="H843" s="7"/>
      <c r="I843" s="7"/>
      <c r="J843" s="7"/>
      <c r="M843" s="3"/>
    </row>
    <row r="844" ht="16.5" customHeight="1">
      <c r="G844" s="7"/>
      <c r="H844" s="7"/>
      <c r="I844" s="7"/>
      <c r="J844" s="7"/>
      <c r="M844" s="3"/>
    </row>
    <row r="845" ht="16.5" customHeight="1">
      <c r="G845" s="7"/>
      <c r="H845" s="7"/>
      <c r="I845" s="7"/>
      <c r="J845" s="7"/>
      <c r="M845" s="3"/>
    </row>
    <row r="846" ht="16.5" customHeight="1">
      <c r="G846" s="7"/>
      <c r="H846" s="7"/>
      <c r="I846" s="7"/>
      <c r="J846" s="7"/>
      <c r="M846" s="3"/>
    </row>
    <row r="847" ht="16.5" customHeight="1">
      <c r="G847" s="7"/>
      <c r="H847" s="7"/>
      <c r="I847" s="7"/>
      <c r="J847" s="7"/>
      <c r="M847" s="3"/>
    </row>
    <row r="848" ht="16.5" customHeight="1">
      <c r="G848" s="7"/>
      <c r="H848" s="7"/>
      <c r="I848" s="7"/>
      <c r="J848" s="7"/>
      <c r="M848" s="3"/>
    </row>
    <row r="849" ht="16.5" customHeight="1">
      <c r="G849" s="7"/>
      <c r="H849" s="7"/>
      <c r="I849" s="7"/>
      <c r="J849" s="7"/>
      <c r="M849" s="3"/>
    </row>
    <row r="850" ht="16.5" customHeight="1">
      <c r="G850" s="7"/>
      <c r="H850" s="7"/>
      <c r="I850" s="7"/>
      <c r="J850" s="7"/>
      <c r="M850" s="3"/>
    </row>
    <row r="851" ht="16.5" customHeight="1">
      <c r="G851" s="7"/>
      <c r="H851" s="7"/>
      <c r="I851" s="7"/>
      <c r="J851" s="7"/>
      <c r="M851" s="3"/>
    </row>
    <row r="852" ht="16.5" customHeight="1">
      <c r="G852" s="7"/>
      <c r="H852" s="7"/>
      <c r="I852" s="7"/>
      <c r="J852" s="7"/>
      <c r="M852" s="3"/>
    </row>
    <row r="853" ht="16.5" customHeight="1">
      <c r="G853" s="7"/>
      <c r="H853" s="7"/>
      <c r="I853" s="7"/>
      <c r="J853" s="7"/>
      <c r="M853" s="3"/>
    </row>
    <row r="854" ht="16.5" customHeight="1">
      <c r="G854" s="7"/>
      <c r="H854" s="7"/>
      <c r="I854" s="7"/>
      <c r="J854" s="7"/>
      <c r="M854" s="3"/>
    </row>
    <row r="855" ht="16.5" customHeight="1">
      <c r="G855" s="7"/>
      <c r="H855" s="7"/>
      <c r="I855" s="7"/>
      <c r="J855" s="7"/>
      <c r="M855" s="3"/>
    </row>
    <row r="856" ht="16.5" customHeight="1">
      <c r="G856" s="7"/>
      <c r="H856" s="7"/>
      <c r="I856" s="7"/>
      <c r="J856" s="7"/>
      <c r="M856" s="3"/>
    </row>
    <row r="857" ht="16.5" customHeight="1">
      <c r="G857" s="7"/>
      <c r="H857" s="7"/>
      <c r="I857" s="7"/>
      <c r="J857" s="7"/>
      <c r="M857" s="3"/>
    </row>
    <row r="858" ht="16.5" customHeight="1">
      <c r="G858" s="7"/>
      <c r="H858" s="7"/>
      <c r="I858" s="7"/>
      <c r="J858" s="7"/>
      <c r="M858" s="3"/>
    </row>
    <row r="859" ht="16.5" customHeight="1">
      <c r="G859" s="7"/>
      <c r="H859" s="7"/>
      <c r="I859" s="7"/>
      <c r="J859" s="7"/>
      <c r="M859" s="3"/>
    </row>
    <row r="860" ht="16.5" customHeight="1">
      <c r="G860" s="7"/>
      <c r="H860" s="7"/>
      <c r="I860" s="7"/>
      <c r="J860" s="7"/>
      <c r="M860" s="3"/>
    </row>
    <row r="861" ht="16.5" customHeight="1">
      <c r="G861" s="7"/>
      <c r="H861" s="7"/>
      <c r="I861" s="7"/>
      <c r="J861" s="7"/>
      <c r="M861" s="3"/>
    </row>
    <row r="862" ht="16.5" customHeight="1">
      <c r="G862" s="7"/>
      <c r="H862" s="7"/>
      <c r="I862" s="7"/>
      <c r="J862" s="7"/>
      <c r="M862" s="3"/>
    </row>
    <row r="863" ht="16.5" customHeight="1">
      <c r="G863" s="7"/>
      <c r="H863" s="7"/>
      <c r="I863" s="7"/>
      <c r="J863" s="7"/>
      <c r="M863" s="3"/>
    </row>
    <row r="864" ht="16.5" customHeight="1">
      <c r="G864" s="7"/>
      <c r="H864" s="7"/>
      <c r="I864" s="7"/>
      <c r="J864" s="7"/>
      <c r="M864" s="3"/>
    </row>
    <row r="865" ht="16.5" customHeight="1">
      <c r="G865" s="7"/>
      <c r="H865" s="7"/>
      <c r="I865" s="7"/>
      <c r="J865" s="7"/>
      <c r="M865" s="3"/>
    </row>
    <row r="866" ht="16.5" customHeight="1">
      <c r="G866" s="7"/>
      <c r="H866" s="7"/>
      <c r="I866" s="7"/>
      <c r="J866" s="7"/>
      <c r="M866" s="3"/>
    </row>
    <row r="867" ht="16.5" customHeight="1">
      <c r="G867" s="7"/>
      <c r="H867" s="7"/>
      <c r="I867" s="7"/>
      <c r="J867" s="7"/>
      <c r="M867" s="3"/>
    </row>
    <row r="868" ht="16.5" customHeight="1">
      <c r="G868" s="7"/>
      <c r="H868" s="7"/>
      <c r="I868" s="7"/>
      <c r="J868" s="7"/>
      <c r="M868" s="3"/>
    </row>
    <row r="869" ht="16.5" customHeight="1">
      <c r="G869" s="7"/>
      <c r="H869" s="7"/>
      <c r="I869" s="7"/>
      <c r="J869" s="7"/>
      <c r="M869" s="3"/>
    </row>
    <row r="870" ht="16.5" customHeight="1">
      <c r="G870" s="7"/>
      <c r="H870" s="7"/>
      <c r="I870" s="7"/>
      <c r="J870" s="7"/>
      <c r="M870" s="3"/>
    </row>
    <row r="871" ht="16.5" customHeight="1">
      <c r="G871" s="7"/>
      <c r="H871" s="7"/>
      <c r="I871" s="7"/>
      <c r="J871" s="7"/>
      <c r="M871" s="3"/>
    </row>
    <row r="872" ht="16.5" customHeight="1">
      <c r="G872" s="7"/>
      <c r="H872" s="7"/>
      <c r="I872" s="7"/>
      <c r="J872" s="7"/>
      <c r="M872" s="3"/>
    </row>
    <row r="873" ht="16.5" customHeight="1">
      <c r="G873" s="7"/>
      <c r="H873" s="7"/>
      <c r="I873" s="7"/>
      <c r="J873" s="7"/>
      <c r="M873" s="3"/>
    </row>
    <row r="874" ht="16.5" customHeight="1">
      <c r="G874" s="7"/>
      <c r="H874" s="7"/>
      <c r="I874" s="7"/>
      <c r="J874" s="7"/>
      <c r="M874" s="3"/>
    </row>
    <row r="875" ht="16.5" customHeight="1">
      <c r="G875" s="7"/>
      <c r="H875" s="7"/>
      <c r="I875" s="7"/>
      <c r="J875" s="7"/>
      <c r="M875" s="3"/>
    </row>
    <row r="876" ht="16.5" customHeight="1">
      <c r="G876" s="7"/>
      <c r="H876" s="7"/>
      <c r="I876" s="7"/>
      <c r="J876" s="7"/>
      <c r="M876" s="3"/>
    </row>
    <row r="877" ht="16.5" customHeight="1">
      <c r="G877" s="7"/>
      <c r="H877" s="7"/>
      <c r="I877" s="7"/>
      <c r="J877" s="7"/>
      <c r="M877" s="3"/>
    </row>
    <row r="878" ht="16.5" customHeight="1">
      <c r="G878" s="7"/>
      <c r="H878" s="7"/>
      <c r="I878" s="7"/>
      <c r="J878" s="7"/>
      <c r="M878" s="3"/>
    </row>
    <row r="879" ht="16.5" customHeight="1">
      <c r="G879" s="7"/>
      <c r="H879" s="7"/>
      <c r="I879" s="7"/>
      <c r="J879" s="7"/>
      <c r="M879" s="3"/>
    </row>
    <row r="880" ht="16.5" customHeight="1">
      <c r="G880" s="7"/>
      <c r="H880" s="7"/>
      <c r="I880" s="7"/>
      <c r="J880" s="7"/>
      <c r="M880" s="3"/>
    </row>
    <row r="881" ht="16.5" customHeight="1">
      <c r="G881" s="7"/>
      <c r="H881" s="7"/>
      <c r="I881" s="7"/>
      <c r="J881" s="7"/>
      <c r="M881" s="3"/>
    </row>
    <row r="882" ht="16.5" customHeight="1">
      <c r="G882" s="7"/>
      <c r="H882" s="7"/>
      <c r="I882" s="7"/>
      <c r="J882" s="7"/>
      <c r="M882" s="3"/>
    </row>
    <row r="883" ht="16.5" customHeight="1">
      <c r="G883" s="7"/>
      <c r="H883" s="7"/>
      <c r="I883" s="7"/>
      <c r="J883" s="7"/>
      <c r="M883" s="3"/>
    </row>
    <row r="884" ht="16.5" customHeight="1">
      <c r="G884" s="7"/>
      <c r="H884" s="7"/>
      <c r="I884" s="7"/>
      <c r="J884" s="7"/>
      <c r="M884" s="3"/>
    </row>
    <row r="885" ht="16.5" customHeight="1">
      <c r="G885" s="7"/>
      <c r="H885" s="7"/>
      <c r="I885" s="7"/>
      <c r="J885" s="7"/>
      <c r="M885" s="3"/>
    </row>
    <row r="886" ht="16.5" customHeight="1">
      <c r="G886" s="7"/>
      <c r="H886" s="7"/>
      <c r="I886" s="7"/>
      <c r="J886" s="7"/>
      <c r="M886" s="3"/>
    </row>
    <row r="887" ht="16.5" customHeight="1">
      <c r="G887" s="7"/>
      <c r="H887" s="7"/>
      <c r="I887" s="7"/>
      <c r="J887" s="7"/>
      <c r="M887" s="3"/>
    </row>
    <row r="888" ht="16.5" customHeight="1">
      <c r="G888" s="7"/>
      <c r="H888" s="7"/>
      <c r="I888" s="7"/>
      <c r="J888" s="7"/>
      <c r="M888" s="3"/>
    </row>
    <row r="889" ht="16.5" customHeight="1">
      <c r="G889" s="7"/>
      <c r="H889" s="7"/>
      <c r="I889" s="7"/>
      <c r="J889" s="7"/>
      <c r="M889" s="3"/>
    </row>
    <row r="890" ht="16.5" customHeight="1">
      <c r="G890" s="7"/>
      <c r="H890" s="7"/>
      <c r="I890" s="7"/>
      <c r="J890" s="7"/>
      <c r="M890" s="3"/>
    </row>
    <row r="891" ht="16.5" customHeight="1">
      <c r="G891" s="7"/>
      <c r="H891" s="7"/>
      <c r="I891" s="7"/>
      <c r="J891" s="7"/>
      <c r="M891" s="3"/>
    </row>
    <row r="892" ht="16.5" customHeight="1">
      <c r="G892" s="7"/>
      <c r="H892" s="7"/>
      <c r="I892" s="7"/>
      <c r="J892" s="7"/>
      <c r="M892" s="3"/>
    </row>
    <row r="893" ht="16.5" customHeight="1">
      <c r="G893" s="7"/>
      <c r="H893" s="7"/>
      <c r="I893" s="7"/>
      <c r="J893" s="7"/>
      <c r="M893" s="3"/>
    </row>
    <row r="894" ht="16.5" customHeight="1">
      <c r="G894" s="7"/>
      <c r="H894" s="7"/>
      <c r="I894" s="7"/>
      <c r="J894" s="7"/>
      <c r="M894" s="3"/>
    </row>
    <row r="895" ht="16.5" customHeight="1">
      <c r="G895" s="7"/>
      <c r="H895" s="7"/>
      <c r="I895" s="7"/>
      <c r="J895" s="7"/>
      <c r="M895" s="3"/>
    </row>
    <row r="896" ht="16.5" customHeight="1">
      <c r="G896" s="7"/>
      <c r="H896" s="7"/>
      <c r="I896" s="7"/>
      <c r="J896" s="7"/>
      <c r="M896" s="3"/>
    </row>
    <row r="897" ht="16.5" customHeight="1">
      <c r="G897" s="7"/>
      <c r="H897" s="7"/>
      <c r="I897" s="7"/>
      <c r="J897" s="7"/>
      <c r="M897" s="3"/>
    </row>
    <row r="898" ht="16.5" customHeight="1">
      <c r="G898" s="7"/>
      <c r="H898" s="7"/>
      <c r="I898" s="7"/>
      <c r="J898" s="7"/>
      <c r="M898" s="3"/>
    </row>
    <row r="899" ht="16.5" customHeight="1">
      <c r="G899" s="7"/>
      <c r="H899" s="7"/>
      <c r="I899" s="7"/>
      <c r="J899" s="7"/>
      <c r="M899" s="3"/>
    </row>
    <row r="900" ht="16.5" customHeight="1">
      <c r="G900" s="7"/>
      <c r="H900" s="7"/>
      <c r="I900" s="7"/>
      <c r="J900" s="7"/>
      <c r="M900" s="3"/>
    </row>
    <row r="901" ht="16.5" customHeight="1">
      <c r="G901" s="7"/>
      <c r="H901" s="7"/>
      <c r="I901" s="7"/>
      <c r="J901" s="7"/>
      <c r="M901" s="3"/>
    </row>
    <row r="902" ht="16.5" customHeight="1">
      <c r="G902" s="7"/>
      <c r="H902" s="7"/>
      <c r="I902" s="7"/>
      <c r="J902" s="7"/>
      <c r="M902" s="3"/>
    </row>
    <row r="903" ht="16.5" customHeight="1">
      <c r="G903" s="7"/>
      <c r="H903" s="7"/>
      <c r="I903" s="7"/>
      <c r="J903" s="7"/>
      <c r="M903" s="3"/>
    </row>
    <row r="904" ht="16.5" customHeight="1">
      <c r="G904" s="7"/>
      <c r="H904" s="7"/>
      <c r="I904" s="7"/>
      <c r="J904" s="7"/>
      <c r="M904" s="3"/>
    </row>
    <row r="905" ht="16.5" customHeight="1">
      <c r="G905" s="7"/>
      <c r="H905" s="7"/>
      <c r="I905" s="7"/>
      <c r="J905" s="7"/>
      <c r="M905" s="3"/>
    </row>
    <row r="906" ht="16.5" customHeight="1">
      <c r="G906" s="7"/>
      <c r="H906" s="7"/>
      <c r="I906" s="7"/>
      <c r="J906" s="7"/>
      <c r="M906" s="3"/>
    </row>
    <row r="907" ht="16.5" customHeight="1">
      <c r="G907" s="7"/>
      <c r="H907" s="7"/>
      <c r="I907" s="7"/>
      <c r="J907" s="7"/>
      <c r="M907" s="3"/>
    </row>
    <row r="908" ht="16.5" customHeight="1">
      <c r="G908" s="7"/>
      <c r="H908" s="7"/>
      <c r="I908" s="7"/>
      <c r="J908" s="7"/>
      <c r="M908" s="3"/>
    </row>
    <row r="909" ht="16.5" customHeight="1">
      <c r="G909" s="7"/>
      <c r="H909" s="7"/>
      <c r="I909" s="7"/>
      <c r="J909" s="7"/>
      <c r="M909" s="3"/>
    </row>
    <row r="910" ht="16.5" customHeight="1">
      <c r="G910" s="7"/>
      <c r="H910" s="7"/>
      <c r="I910" s="7"/>
      <c r="J910" s="7"/>
      <c r="M910" s="3"/>
    </row>
    <row r="911" ht="16.5" customHeight="1">
      <c r="G911" s="7"/>
      <c r="H911" s="7"/>
      <c r="I911" s="7"/>
      <c r="J911" s="7"/>
      <c r="M911" s="3"/>
    </row>
    <row r="912" ht="16.5" customHeight="1">
      <c r="G912" s="7"/>
      <c r="H912" s="7"/>
      <c r="I912" s="7"/>
      <c r="J912" s="7"/>
      <c r="M912" s="3"/>
    </row>
    <row r="913" ht="16.5" customHeight="1">
      <c r="G913" s="7"/>
      <c r="H913" s="7"/>
      <c r="I913" s="7"/>
      <c r="J913" s="7"/>
      <c r="M913" s="3"/>
    </row>
    <row r="914" ht="16.5" customHeight="1">
      <c r="G914" s="7"/>
      <c r="H914" s="7"/>
      <c r="I914" s="7"/>
      <c r="J914" s="7"/>
      <c r="M914" s="3"/>
    </row>
    <row r="915" ht="16.5" customHeight="1">
      <c r="G915" s="7"/>
      <c r="H915" s="7"/>
      <c r="I915" s="7"/>
      <c r="J915" s="7"/>
      <c r="M915" s="3"/>
    </row>
    <row r="916" ht="16.5" customHeight="1">
      <c r="G916" s="7"/>
      <c r="H916" s="7"/>
      <c r="I916" s="7"/>
      <c r="J916" s="7"/>
      <c r="M916" s="3"/>
    </row>
    <row r="917" ht="16.5" customHeight="1">
      <c r="G917" s="7"/>
      <c r="H917" s="7"/>
      <c r="I917" s="7"/>
      <c r="J917" s="7"/>
      <c r="M917" s="3"/>
    </row>
    <row r="918" ht="16.5" customHeight="1">
      <c r="G918" s="7"/>
      <c r="H918" s="7"/>
      <c r="I918" s="7"/>
      <c r="J918" s="7"/>
      <c r="M918" s="3"/>
    </row>
    <row r="919" ht="16.5" customHeight="1">
      <c r="G919" s="7"/>
      <c r="H919" s="7"/>
      <c r="I919" s="7"/>
      <c r="J919" s="7"/>
      <c r="M919" s="3"/>
    </row>
    <row r="920" ht="16.5" customHeight="1">
      <c r="G920" s="7"/>
      <c r="H920" s="7"/>
      <c r="I920" s="7"/>
      <c r="J920" s="7"/>
      <c r="M920" s="3"/>
    </row>
    <row r="921" ht="16.5" customHeight="1">
      <c r="G921" s="7"/>
      <c r="H921" s="7"/>
      <c r="I921" s="7"/>
      <c r="J921" s="7"/>
      <c r="M921" s="3"/>
    </row>
    <row r="922" ht="16.5" customHeight="1">
      <c r="G922" s="7"/>
      <c r="H922" s="7"/>
      <c r="I922" s="7"/>
      <c r="J922" s="7"/>
      <c r="M922" s="3"/>
    </row>
    <row r="923" ht="16.5" customHeight="1">
      <c r="G923" s="7"/>
      <c r="H923" s="7"/>
      <c r="I923" s="7"/>
      <c r="J923" s="7"/>
      <c r="M923" s="3"/>
    </row>
    <row r="924" ht="16.5" customHeight="1">
      <c r="G924" s="7"/>
      <c r="H924" s="7"/>
      <c r="I924" s="7"/>
      <c r="J924" s="7"/>
      <c r="M924" s="3"/>
    </row>
    <row r="925" ht="16.5" customHeight="1">
      <c r="G925" s="7"/>
      <c r="H925" s="7"/>
      <c r="I925" s="7"/>
      <c r="J925" s="7"/>
      <c r="M925" s="3"/>
    </row>
    <row r="926" ht="16.5" customHeight="1">
      <c r="G926" s="7"/>
      <c r="H926" s="7"/>
      <c r="I926" s="7"/>
      <c r="J926" s="7"/>
      <c r="M926" s="3"/>
    </row>
    <row r="927" ht="16.5" customHeight="1">
      <c r="G927" s="7"/>
      <c r="H927" s="7"/>
      <c r="I927" s="7"/>
      <c r="J927" s="7"/>
      <c r="M927" s="3"/>
    </row>
    <row r="928" ht="16.5" customHeight="1">
      <c r="G928" s="7"/>
      <c r="H928" s="7"/>
      <c r="I928" s="7"/>
      <c r="J928" s="7"/>
      <c r="M928" s="3"/>
    </row>
    <row r="929" ht="16.5" customHeight="1">
      <c r="G929" s="7"/>
      <c r="H929" s="7"/>
      <c r="I929" s="7"/>
      <c r="J929" s="7"/>
      <c r="M929" s="3"/>
    </row>
    <row r="930" ht="16.5" customHeight="1">
      <c r="G930" s="7"/>
      <c r="H930" s="7"/>
      <c r="I930" s="7"/>
      <c r="J930" s="7"/>
      <c r="M930" s="3"/>
    </row>
    <row r="931" ht="16.5" customHeight="1">
      <c r="G931" s="7"/>
      <c r="H931" s="7"/>
      <c r="I931" s="7"/>
      <c r="J931" s="7"/>
      <c r="M931" s="3"/>
    </row>
    <row r="932" ht="16.5" customHeight="1">
      <c r="G932" s="7"/>
      <c r="H932" s="7"/>
      <c r="I932" s="7"/>
      <c r="J932" s="7"/>
      <c r="M932" s="3"/>
    </row>
    <row r="933" ht="16.5" customHeight="1">
      <c r="G933" s="7"/>
      <c r="H933" s="7"/>
      <c r="I933" s="7"/>
      <c r="J933" s="7"/>
      <c r="M933" s="3"/>
    </row>
    <row r="934" ht="16.5" customHeight="1">
      <c r="G934" s="7"/>
      <c r="H934" s="7"/>
      <c r="I934" s="7"/>
      <c r="J934" s="7"/>
      <c r="M934" s="3"/>
    </row>
    <row r="935" ht="16.5" customHeight="1">
      <c r="G935" s="7"/>
      <c r="H935" s="7"/>
      <c r="I935" s="7"/>
      <c r="J935" s="7"/>
      <c r="M935" s="3"/>
    </row>
    <row r="936" ht="16.5" customHeight="1">
      <c r="G936" s="7"/>
      <c r="H936" s="7"/>
      <c r="I936" s="7"/>
      <c r="J936" s="7"/>
      <c r="M936" s="3"/>
    </row>
    <row r="937" ht="16.5" customHeight="1">
      <c r="G937" s="7"/>
      <c r="H937" s="7"/>
      <c r="I937" s="7"/>
      <c r="J937" s="7"/>
      <c r="M937" s="3"/>
    </row>
    <row r="938" ht="16.5" customHeight="1">
      <c r="G938" s="7"/>
      <c r="H938" s="7"/>
      <c r="I938" s="7"/>
      <c r="J938" s="7"/>
      <c r="M938" s="3"/>
    </row>
    <row r="939" ht="16.5" customHeight="1">
      <c r="G939" s="7"/>
      <c r="H939" s="7"/>
      <c r="I939" s="7"/>
      <c r="J939" s="7"/>
      <c r="M939" s="3"/>
    </row>
    <row r="940" ht="16.5" customHeight="1">
      <c r="G940" s="7"/>
      <c r="H940" s="7"/>
      <c r="I940" s="7"/>
      <c r="J940" s="7"/>
      <c r="M940" s="3"/>
    </row>
    <row r="941" ht="16.5" customHeight="1">
      <c r="G941" s="7"/>
      <c r="H941" s="7"/>
      <c r="I941" s="7"/>
      <c r="J941" s="7"/>
      <c r="M941" s="3"/>
    </row>
    <row r="942" ht="16.5" customHeight="1">
      <c r="G942" s="7"/>
      <c r="H942" s="7"/>
      <c r="I942" s="7"/>
      <c r="J942" s="7"/>
      <c r="M942" s="3"/>
    </row>
    <row r="943" ht="16.5" customHeight="1">
      <c r="G943" s="7"/>
      <c r="H943" s="7"/>
      <c r="I943" s="7"/>
      <c r="J943" s="7"/>
      <c r="M943" s="3"/>
    </row>
    <row r="944" ht="16.5" customHeight="1">
      <c r="G944" s="7"/>
      <c r="H944" s="7"/>
      <c r="I944" s="7"/>
      <c r="J944" s="7"/>
      <c r="M944" s="3"/>
    </row>
    <row r="945" ht="16.5" customHeight="1">
      <c r="G945" s="7"/>
      <c r="H945" s="7"/>
      <c r="I945" s="7"/>
      <c r="J945" s="7"/>
      <c r="M945" s="3"/>
    </row>
    <row r="946" ht="16.5" customHeight="1">
      <c r="G946" s="7"/>
      <c r="H946" s="7"/>
      <c r="I946" s="7"/>
      <c r="J946" s="7"/>
      <c r="M946" s="3"/>
    </row>
    <row r="947" ht="16.5" customHeight="1">
      <c r="G947" s="7"/>
      <c r="H947" s="7"/>
      <c r="I947" s="7"/>
      <c r="J947" s="7"/>
      <c r="M947" s="3"/>
    </row>
    <row r="948" ht="16.5" customHeight="1">
      <c r="G948" s="7"/>
      <c r="H948" s="7"/>
      <c r="I948" s="7"/>
      <c r="J948" s="7"/>
      <c r="M948" s="3"/>
    </row>
    <row r="949" ht="16.5" customHeight="1">
      <c r="G949" s="7"/>
      <c r="H949" s="7"/>
      <c r="I949" s="7"/>
      <c r="J949" s="7"/>
      <c r="M949" s="3"/>
    </row>
    <row r="950" ht="16.5" customHeight="1">
      <c r="G950" s="7"/>
      <c r="H950" s="7"/>
      <c r="I950" s="7"/>
      <c r="J950" s="7"/>
      <c r="M950" s="3"/>
    </row>
    <row r="951" ht="16.5" customHeight="1">
      <c r="G951" s="7"/>
      <c r="H951" s="7"/>
      <c r="I951" s="7"/>
      <c r="J951" s="7"/>
      <c r="M951" s="3"/>
    </row>
    <row r="952" ht="16.5" customHeight="1">
      <c r="G952" s="7"/>
      <c r="H952" s="7"/>
      <c r="I952" s="7"/>
      <c r="J952" s="7"/>
      <c r="M952" s="3"/>
    </row>
    <row r="953" ht="16.5" customHeight="1">
      <c r="G953" s="7"/>
      <c r="H953" s="7"/>
      <c r="I953" s="7"/>
      <c r="J953" s="7"/>
      <c r="M953" s="3"/>
    </row>
    <row r="954" ht="16.5" customHeight="1">
      <c r="G954" s="7"/>
      <c r="H954" s="7"/>
      <c r="I954" s="7"/>
      <c r="J954" s="7"/>
      <c r="M954" s="3"/>
    </row>
    <row r="955" ht="16.5" customHeight="1">
      <c r="G955" s="7"/>
      <c r="H955" s="7"/>
      <c r="I955" s="7"/>
      <c r="J955" s="7"/>
      <c r="M955" s="3"/>
    </row>
    <row r="956" ht="16.5" customHeight="1">
      <c r="G956" s="7"/>
      <c r="H956" s="7"/>
      <c r="I956" s="7"/>
      <c r="J956" s="7"/>
      <c r="M956" s="3"/>
    </row>
    <row r="957" ht="16.5" customHeight="1">
      <c r="G957" s="7"/>
      <c r="H957" s="7"/>
      <c r="I957" s="7"/>
      <c r="J957" s="7"/>
      <c r="M957" s="3"/>
    </row>
    <row r="958" ht="16.5" customHeight="1">
      <c r="G958" s="7"/>
      <c r="H958" s="7"/>
      <c r="I958" s="7"/>
      <c r="J958" s="7"/>
      <c r="M958" s="3"/>
    </row>
    <row r="959" ht="16.5" customHeight="1">
      <c r="G959" s="7"/>
      <c r="H959" s="7"/>
      <c r="I959" s="7"/>
      <c r="J959" s="7"/>
      <c r="M959" s="3"/>
    </row>
    <row r="960" ht="16.5" customHeight="1">
      <c r="G960" s="7"/>
      <c r="H960" s="7"/>
      <c r="I960" s="7"/>
      <c r="J960" s="7"/>
      <c r="M960" s="3"/>
    </row>
    <row r="961" ht="16.5" customHeight="1">
      <c r="G961" s="7"/>
      <c r="H961" s="7"/>
      <c r="I961" s="7"/>
      <c r="J961" s="7"/>
      <c r="M961" s="3"/>
    </row>
    <row r="962" ht="16.5" customHeight="1">
      <c r="G962" s="7"/>
      <c r="H962" s="7"/>
      <c r="I962" s="7"/>
      <c r="J962" s="7"/>
      <c r="M962" s="3"/>
    </row>
    <row r="963" ht="16.5" customHeight="1">
      <c r="G963" s="7"/>
      <c r="H963" s="7"/>
      <c r="I963" s="7"/>
      <c r="J963" s="7"/>
      <c r="M963" s="3"/>
    </row>
    <row r="964" ht="16.5" customHeight="1">
      <c r="G964" s="7"/>
      <c r="H964" s="7"/>
      <c r="I964" s="7"/>
      <c r="J964" s="7"/>
      <c r="M964" s="3"/>
    </row>
    <row r="965" ht="16.5" customHeight="1">
      <c r="G965" s="7"/>
      <c r="H965" s="7"/>
      <c r="I965" s="7"/>
      <c r="J965" s="7"/>
      <c r="M965" s="3"/>
    </row>
    <row r="966" ht="16.5" customHeight="1">
      <c r="G966" s="7"/>
      <c r="H966" s="7"/>
      <c r="I966" s="7"/>
      <c r="J966" s="7"/>
      <c r="M966" s="3"/>
    </row>
    <row r="967" ht="16.5" customHeight="1">
      <c r="G967" s="7"/>
      <c r="H967" s="7"/>
      <c r="I967" s="7"/>
      <c r="J967" s="7"/>
      <c r="M967" s="3"/>
    </row>
    <row r="968" ht="16.5" customHeight="1">
      <c r="G968" s="7"/>
      <c r="H968" s="7"/>
      <c r="I968" s="7"/>
      <c r="J968" s="7"/>
      <c r="M968" s="3"/>
    </row>
    <row r="969" ht="16.5" customHeight="1">
      <c r="G969" s="7"/>
      <c r="H969" s="7"/>
      <c r="I969" s="7"/>
      <c r="J969" s="7"/>
      <c r="M969" s="3"/>
    </row>
    <row r="970" ht="16.5" customHeight="1">
      <c r="G970" s="7"/>
      <c r="H970" s="7"/>
      <c r="I970" s="7"/>
      <c r="J970" s="7"/>
      <c r="M970" s="3"/>
    </row>
    <row r="971" ht="16.5" customHeight="1">
      <c r="G971" s="7"/>
      <c r="H971" s="7"/>
      <c r="I971" s="7"/>
      <c r="J971" s="7"/>
      <c r="M971" s="3"/>
    </row>
    <row r="972" ht="16.5" customHeight="1">
      <c r="G972" s="7"/>
      <c r="H972" s="7"/>
      <c r="I972" s="7"/>
      <c r="J972" s="7"/>
      <c r="M972" s="3"/>
    </row>
    <row r="973" ht="16.5" customHeight="1">
      <c r="G973" s="7"/>
      <c r="H973" s="7"/>
      <c r="I973" s="7"/>
      <c r="J973" s="7"/>
      <c r="M973" s="3"/>
    </row>
    <row r="974" ht="16.5" customHeight="1">
      <c r="G974" s="7"/>
      <c r="H974" s="7"/>
      <c r="I974" s="7"/>
      <c r="J974" s="7"/>
      <c r="M974" s="3"/>
    </row>
    <row r="975" ht="16.5" customHeight="1">
      <c r="G975" s="7"/>
      <c r="H975" s="7"/>
      <c r="I975" s="7"/>
      <c r="J975" s="7"/>
      <c r="M975" s="3"/>
    </row>
    <row r="976" ht="16.5" customHeight="1">
      <c r="G976" s="7"/>
      <c r="H976" s="7"/>
      <c r="I976" s="7"/>
      <c r="J976" s="7"/>
      <c r="M976" s="3"/>
    </row>
    <row r="977" ht="16.5" customHeight="1">
      <c r="G977" s="7"/>
      <c r="H977" s="7"/>
      <c r="I977" s="7"/>
      <c r="J977" s="7"/>
      <c r="M977" s="3"/>
    </row>
    <row r="978" ht="16.5" customHeight="1">
      <c r="G978" s="7"/>
      <c r="H978" s="7"/>
      <c r="I978" s="7"/>
      <c r="J978" s="7"/>
      <c r="M978" s="3"/>
    </row>
    <row r="979" ht="16.5" customHeight="1">
      <c r="G979" s="7"/>
      <c r="H979" s="7"/>
      <c r="I979" s="7"/>
      <c r="J979" s="7"/>
      <c r="M979" s="3"/>
    </row>
    <row r="980" ht="16.5" customHeight="1">
      <c r="G980" s="7"/>
      <c r="H980" s="7"/>
      <c r="I980" s="7"/>
      <c r="J980" s="7"/>
      <c r="M980" s="3"/>
    </row>
    <row r="981" ht="16.5" customHeight="1">
      <c r="G981" s="7"/>
      <c r="H981" s="7"/>
      <c r="I981" s="7"/>
      <c r="J981" s="7"/>
      <c r="M981" s="3"/>
    </row>
    <row r="982" ht="16.5" customHeight="1">
      <c r="G982" s="7"/>
      <c r="H982" s="7"/>
      <c r="I982" s="7"/>
      <c r="J982" s="7"/>
      <c r="M982" s="3"/>
    </row>
    <row r="983" ht="16.5" customHeight="1">
      <c r="G983" s="7"/>
      <c r="H983" s="7"/>
      <c r="I983" s="7"/>
      <c r="J983" s="7"/>
      <c r="M983" s="3"/>
    </row>
    <row r="984" ht="16.5" customHeight="1">
      <c r="G984" s="7"/>
      <c r="H984" s="7"/>
      <c r="I984" s="7"/>
      <c r="J984" s="7"/>
      <c r="M984" s="3"/>
    </row>
    <row r="985" ht="16.5" customHeight="1">
      <c r="G985" s="7"/>
      <c r="H985" s="7"/>
      <c r="I985" s="7"/>
      <c r="J985" s="7"/>
      <c r="M985" s="3"/>
    </row>
    <row r="986" ht="16.5" customHeight="1">
      <c r="G986" s="7"/>
      <c r="H986" s="7"/>
      <c r="I986" s="7"/>
      <c r="J986" s="7"/>
      <c r="M986" s="3"/>
    </row>
    <row r="987" ht="16.5" customHeight="1">
      <c r="G987" s="7"/>
      <c r="H987" s="7"/>
      <c r="I987" s="7"/>
      <c r="J987" s="7"/>
      <c r="M987" s="3"/>
    </row>
    <row r="988" ht="16.5" customHeight="1">
      <c r="G988" s="7"/>
      <c r="H988" s="7"/>
      <c r="I988" s="7"/>
      <c r="J988" s="7"/>
      <c r="M988" s="3"/>
    </row>
    <row r="989" ht="16.5" customHeight="1">
      <c r="G989" s="7"/>
      <c r="H989" s="7"/>
      <c r="I989" s="7"/>
      <c r="J989" s="7"/>
      <c r="M989" s="3"/>
    </row>
    <row r="990" ht="16.5" customHeight="1">
      <c r="G990" s="7"/>
      <c r="H990" s="7"/>
      <c r="I990" s="7"/>
      <c r="J990" s="7"/>
      <c r="M990" s="3"/>
    </row>
    <row r="991" ht="16.5" customHeight="1">
      <c r="G991" s="7"/>
      <c r="H991" s="7"/>
      <c r="I991" s="7"/>
      <c r="J991" s="7"/>
      <c r="M991" s="3"/>
    </row>
    <row r="992" ht="16.5" customHeight="1">
      <c r="G992" s="7"/>
      <c r="H992" s="7"/>
      <c r="I992" s="7"/>
      <c r="J992" s="7"/>
      <c r="M992" s="3"/>
    </row>
    <row r="993" ht="16.5" customHeight="1">
      <c r="G993" s="7"/>
      <c r="H993" s="7"/>
      <c r="I993" s="7"/>
      <c r="J993" s="7"/>
      <c r="M993" s="3"/>
    </row>
    <row r="994" ht="16.5" customHeight="1">
      <c r="G994" s="7"/>
      <c r="H994" s="7"/>
      <c r="I994" s="7"/>
      <c r="J994" s="7"/>
      <c r="M994" s="3"/>
    </row>
    <row r="995" ht="16.5" customHeight="1">
      <c r="G995" s="7"/>
      <c r="H995" s="7"/>
      <c r="I995" s="7"/>
      <c r="J995" s="7"/>
      <c r="M995" s="3"/>
    </row>
    <row r="996" ht="16.5" customHeight="1">
      <c r="G996" s="7"/>
      <c r="H996" s="7"/>
      <c r="I996" s="7"/>
      <c r="J996" s="7"/>
      <c r="M996" s="3"/>
    </row>
    <row r="997" ht="16.5" customHeight="1">
      <c r="G997" s="7"/>
      <c r="H997" s="7"/>
      <c r="I997" s="7"/>
      <c r="J997" s="7"/>
      <c r="M997" s="3"/>
    </row>
    <row r="998" ht="16.5" customHeight="1">
      <c r="G998" s="7"/>
      <c r="H998" s="7"/>
      <c r="I998" s="7"/>
      <c r="J998" s="7"/>
      <c r="M998" s="3"/>
    </row>
    <row r="999" ht="16.5" customHeight="1">
      <c r="G999" s="7"/>
      <c r="H999" s="7"/>
      <c r="I999" s="7"/>
      <c r="J999" s="7"/>
      <c r="M999" s="3"/>
    </row>
    <row r="1000" ht="16.5" customHeight="1">
      <c r="G1000" s="7"/>
      <c r="H1000" s="7"/>
      <c r="I1000" s="7"/>
      <c r="J1000" s="7"/>
      <c r="M1000" s="3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2.63" defaultRowHeight="15.0"/>
  <cols>
    <col customWidth="1" min="1" max="1" width="7.63"/>
    <col customWidth="1" min="2" max="2" width="15.88"/>
    <col customWidth="1" min="3" max="3" width="12.25"/>
    <col customWidth="1" min="4" max="4" width="10.63"/>
    <col customWidth="1" min="5" max="5" width="12.63"/>
    <col customWidth="1" min="6" max="6" width="7.63"/>
    <col customWidth="1" min="7" max="7" width="15.88"/>
    <col customWidth="1" min="8" max="8" width="12.25"/>
    <col customWidth="1" min="9" max="9" width="10.63"/>
    <col customWidth="1" min="10" max="10" width="13.63"/>
    <col customWidth="1" min="11" max="11" width="8.75"/>
    <col customWidth="1" min="12" max="26" width="7.63"/>
  </cols>
  <sheetData>
    <row r="1" ht="16.5" customHeight="1">
      <c r="G1" s="8"/>
    </row>
    <row r="2" ht="16.5" customHeight="1"/>
    <row r="3" ht="16.5" customHeight="1">
      <c r="G3" s="8" t="s">
        <v>200</v>
      </c>
      <c r="H3" s="8" t="s">
        <v>201</v>
      </c>
      <c r="I3" s="8" t="s">
        <v>0</v>
      </c>
      <c r="J3" s="1" t="s">
        <v>202</v>
      </c>
    </row>
    <row r="4" ht="16.5" customHeight="1">
      <c r="G4" s="15" t="s">
        <v>203</v>
      </c>
      <c r="H4" s="15" t="s">
        <v>205</v>
      </c>
      <c r="I4" s="4">
        <v>44651.0</v>
      </c>
      <c r="J4" s="17">
        <v>3060530.0</v>
      </c>
    </row>
    <row r="5" ht="16.5" customHeight="1">
      <c r="G5" s="1"/>
      <c r="H5" s="15" t="s">
        <v>206</v>
      </c>
      <c r="I5" s="4">
        <v>44683.0</v>
      </c>
      <c r="J5" s="17">
        <v>1.804943E7</v>
      </c>
    </row>
    <row r="6" ht="16.5" customHeight="1">
      <c r="G6" s="1"/>
      <c r="H6" s="15" t="s">
        <v>208</v>
      </c>
      <c r="I6" s="4">
        <v>44713.0</v>
      </c>
      <c r="J6" s="17">
        <v>3060530.0</v>
      </c>
    </row>
    <row r="7" ht="16.5" customHeight="1">
      <c r="G7" s="1"/>
      <c r="H7" s="1"/>
      <c r="I7" s="4">
        <v>44742.0</v>
      </c>
      <c r="J7" s="17">
        <v>3060530.0</v>
      </c>
    </row>
    <row r="8" ht="16.5" customHeight="1">
      <c r="G8" s="1"/>
      <c r="H8" s="15" t="s">
        <v>209</v>
      </c>
      <c r="I8" s="4">
        <v>44773.0</v>
      </c>
      <c r="J8" s="17">
        <v>3061030.0</v>
      </c>
    </row>
    <row r="9" ht="16.5" customHeight="1">
      <c r="G9" s="1"/>
      <c r="H9" s="15" t="s">
        <v>210</v>
      </c>
      <c r="I9" s="4">
        <v>44803.0</v>
      </c>
      <c r="J9" s="17">
        <v>3060530.0</v>
      </c>
    </row>
    <row r="10" ht="16.5" customHeight="1">
      <c r="G10" s="1"/>
      <c r="H10" s="15" t="s">
        <v>211</v>
      </c>
      <c r="I10" s="4">
        <v>44834.0</v>
      </c>
      <c r="J10" s="17">
        <v>3060530.0</v>
      </c>
    </row>
    <row r="11" ht="16.5" customHeight="1">
      <c r="G11" s="1"/>
      <c r="H11" s="15" t="s">
        <v>212</v>
      </c>
      <c r="I11" s="4">
        <v>44865.0</v>
      </c>
      <c r="J11" s="17">
        <v>3060530.0</v>
      </c>
    </row>
    <row r="12" ht="16.5" customHeight="1">
      <c r="G12" s="1"/>
      <c r="H12" s="15" t="s">
        <v>213</v>
      </c>
      <c r="I12" s="4">
        <v>44894.0</v>
      </c>
      <c r="J12" s="17">
        <v>3060530.0</v>
      </c>
    </row>
    <row r="13" ht="16.5" customHeight="1">
      <c r="G13" s="15" t="s">
        <v>214</v>
      </c>
      <c r="H13" s="15" t="s">
        <v>215</v>
      </c>
      <c r="I13" s="4">
        <v>44936.0</v>
      </c>
      <c r="J13" s="17">
        <v>3060530.0</v>
      </c>
    </row>
    <row r="14" ht="16.5" customHeight="1">
      <c r="G14" s="1"/>
      <c r="H14" s="1"/>
      <c r="I14" s="4">
        <v>44957.0</v>
      </c>
      <c r="J14" s="17">
        <v>3060530.0</v>
      </c>
      <c r="K14" s="18">
        <v>-500.0</v>
      </c>
    </row>
    <row r="15" ht="16.5" customHeight="1">
      <c r="G15" s="1"/>
      <c r="H15" s="15" t="s">
        <v>204</v>
      </c>
      <c r="I15" s="4">
        <v>44985.0</v>
      </c>
      <c r="J15" s="20">
        <v>3060030.0</v>
      </c>
    </row>
    <row r="16" ht="16.5" customHeight="1">
      <c r="G16" s="1"/>
      <c r="H16" s="15" t="s">
        <v>205</v>
      </c>
      <c r="I16" s="4">
        <v>45016.0</v>
      </c>
      <c r="J16" s="20">
        <v>3060530.0</v>
      </c>
    </row>
    <row r="17" ht="16.5" customHeight="1">
      <c r="G17" s="1"/>
      <c r="H17" s="15" t="s">
        <v>207</v>
      </c>
      <c r="I17" s="4">
        <v>45044.0</v>
      </c>
      <c r="J17" s="20">
        <v>3060530.0</v>
      </c>
    </row>
    <row r="18" ht="16.5" customHeight="1">
      <c r="G18" s="1"/>
      <c r="H18" s="15" t="s">
        <v>206</v>
      </c>
      <c r="I18" s="4">
        <v>45075.0</v>
      </c>
      <c r="J18" s="20">
        <v>3060530.0</v>
      </c>
    </row>
    <row r="19" ht="16.5" customHeight="1">
      <c r="G19" s="1"/>
      <c r="H19" s="15" t="s">
        <v>208</v>
      </c>
      <c r="I19" s="4">
        <v>45105.0</v>
      </c>
      <c r="J19" s="20">
        <v>3060530.0</v>
      </c>
    </row>
    <row r="20" ht="16.5" customHeight="1">
      <c r="G20" s="1"/>
      <c r="H20" s="15" t="s">
        <v>209</v>
      </c>
      <c r="I20" s="4">
        <v>45138.0</v>
      </c>
      <c r="J20" s="20">
        <v>3060530.0</v>
      </c>
    </row>
    <row r="21" ht="16.5" customHeight="1">
      <c r="G21" s="1"/>
      <c r="H21" s="15" t="s">
        <v>210</v>
      </c>
      <c r="I21" s="4">
        <v>45169.0</v>
      </c>
      <c r="J21" s="20">
        <v>3060530.0</v>
      </c>
    </row>
    <row r="22" ht="16.5" customHeight="1">
      <c r="G22" s="1"/>
      <c r="H22" s="15" t="s">
        <v>211</v>
      </c>
      <c r="I22" s="4">
        <v>45190.0</v>
      </c>
      <c r="J22" s="20">
        <v>3060530.0</v>
      </c>
    </row>
    <row r="23" ht="16.5" customHeight="1">
      <c r="G23" s="1"/>
      <c r="H23" s="15" t="s">
        <v>212</v>
      </c>
      <c r="I23" s="4">
        <v>45230.0</v>
      </c>
      <c r="J23" s="20">
        <v>3060530.0</v>
      </c>
    </row>
    <row r="24" ht="16.5" customHeight="1">
      <c r="G24" s="1"/>
      <c r="H24" s="15" t="s">
        <v>213</v>
      </c>
      <c r="I24" s="4">
        <v>45258.0</v>
      </c>
      <c r="J24" s="20">
        <v>3060530.0</v>
      </c>
    </row>
    <row r="25" ht="16.5" customHeight="1">
      <c r="G25" s="1"/>
      <c r="H25" s="15" t="s">
        <v>216</v>
      </c>
      <c r="I25" s="4">
        <v>45290.0</v>
      </c>
      <c r="J25" s="20">
        <v>3060530.0</v>
      </c>
    </row>
    <row r="26" ht="16.5" customHeight="1">
      <c r="G26" s="15" t="s">
        <v>217</v>
      </c>
      <c r="H26" s="15" t="s">
        <v>215</v>
      </c>
      <c r="I26" s="4">
        <v>45322.0</v>
      </c>
      <c r="J26" s="20">
        <v>3060530.0</v>
      </c>
    </row>
    <row r="27" ht="16.5" customHeight="1">
      <c r="G27" s="1"/>
      <c r="H27" s="15" t="s">
        <v>207</v>
      </c>
      <c r="I27" s="4">
        <v>45385.0</v>
      </c>
      <c r="J27" s="22">
        <v>3060530.0</v>
      </c>
    </row>
    <row r="28" ht="16.5" customHeight="1">
      <c r="G28" s="1"/>
      <c r="H28" s="15" t="s">
        <v>206</v>
      </c>
      <c r="I28" s="4">
        <v>45422.0</v>
      </c>
      <c r="J28" s="22">
        <v>3060530.0</v>
      </c>
    </row>
    <row r="29" ht="16.5" customHeight="1">
      <c r="G29" s="1"/>
      <c r="H29" s="1"/>
      <c r="I29" s="4">
        <v>45443.0</v>
      </c>
      <c r="J29" s="22">
        <v>3060530.0</v>
      </c>
    </row>
    <row r="30" ht="16.5" customHeight="1">
      <c r="G30" s="1"/>
      <c r="H30" s="15" t="s">
        <v>209</v>
      </c>
      <c r="I30" s="4">
        <v>45475.0</v>
      </c>
      <c r="J30" s="22">
        <v>3060530.0</v>
      </c>
    </row>
    <row r="31" ht="16.5" customHeight="1">
      <c r="G31" s="1"/>
      <c r="H31" s="15" t="s">
        <v>211</v>
      </c>
      <c r="I31" s="4">
        <v>45539.0</v>
      </c>
      <c r="J31" s="22">
        <v>3060500.0</v>
      </c>
    </row>
    <row r="32" ht="16.5" customHeight="1">
      <c r="G32" s="1"/>
      <c r="H32" s="1"/>
      <c r="I32" s="4">
        <v>45565.0</v>
      </c>
      <c r="J32" s="22">
        <v>3060500.0</v>
      </c>
    </row>
    <row r="33" ht="16.5" customHeight="1">
      <c r="G33" s="1"/>
      <c r="H33" s="15" t="s">
        <v>213</v>
      </c>
      <c r="I33" s="4">
        <v>45597.0</v>
      </c>
      <c r="J33" s="22">
        <v>3060530.0</v>
      </c>
    </row>
    <row r="34" ht="16.5" customHeight="1">
      <c r="G34" s="1"/>
      <c r="H34" s="1"/>
      <c r="I34" s="4">
        <v>45625.0</v>
      </c>
      <c r="J34" s="22">
        <v>3060530.0</v>
      </c>
    </row>
    <row r="35" ht="16.5" customHeight="1">
      <c r="G35" s="1"/>
      <c r="H35" s="15" t="s">
        <v>216</v>
      </c>
      <c r="I35" s="4">
        <v>45653.0</v>
      </c>
      <c r="J35" s="22">
        <v>3060530.0</v>
      </c>
    </row>
    <row r="36" ht="16.5" customHeight="1">
      <c r="G36" s="15" t="s">
        <v>218</v>
      </c>
      <c r="H36" s="15" t="s">
        <v>215</v>
      </c>
      <c r="I36" s="4">
        <v>45688.0</v>
      </c>
      <c r="J36" s="22">
        <v>3060530.0</v>
      </c>
    </row>
    <row r="37" ht="16.5" customHeight="1">
      <c r="G37" s="1"/>
      <c r="H37" s="15" t="s">
        <v>204</v>
      </c>
      <c r="I37" s="4">
        <v>45716.0</v>
      </c>
      <c r="J37" s="22">
        <v>3060530.0</v>
      </c>
    </row>
    <row r="38" ht="16.5" customHeight="1">
      <c r="G38" s="1"/>
      <c r="H38" s="15" t="s">
        <v>207</v>
      </c>
      <c r="I38" s="4">
        <v>45748.0</v>
      </c>
      <c r="J38" s="22">
        <v>3065100.0</v>
      </c>
    </row>
    <row r="39" ht="16.5" customHeight="1">
      <c r="G39" s="1"/>
      <c r="H39" s="15" t="s">
        <v>206</v>
      </c>
      <c r="I39" s="4">
        <v>45784.0</v>
      </c>
      <c r="J39" s="24">
        <v>3060530.0</v>
      </c>
      <c r="K39" s="24">
        <v>-4570.0</v>
      </c>
    </row>
    <row r="40" ht="16.5" customHeight="1">
      <c r="G40" s="1"/>
      <c r="H40" s="15" t="s">
        <v>208</v>
      </c>
      <c r="I40" s="4">
        <v>45810.0</v>
      </c>
      <c r="J40" s="24">
        <v>3060530.0</v>
      </c>
    </row>
    <row r="41" ht="16.5" customHeight="1">
      <c r="G41" s="1"/>
      <c r="H41" s="15" t="s">
        <v>209</v>
      </c>
      <c r="I41" s="4">
        <v>45853.0</v>
      </c>
      <c r="J41" s="24">
        <v>3060530.0</v>
      </c>
    </row>
    <row r="42" ht="16.5" customHeight="1">
      <c r="G42" s="1"/>
      <c r="H42" s="1"/>
      <c r="I42" s="4">
        <v>45869.0</v>
      </c>
      <c r="J42" s="24">
        <v>3063530.0</v>
      </c>
    </row>
    <row r="43" ht="16.5" customHeight="1">
      <c r="G43" s="1"/>
      <c r="H43" s="15" t="s">
        <v>210</v>
      </c>
      <c r="I43" s="4">
        <v>45896.0</v>
      </c>
      <c r="J43" s="24">
        <v>3063530.0</v>
      </c>
      <c r="K43" s="24">
        <v>-3000.0</v>
      </c>
    </row>
    <row r="44" ht="16.5" customHeight="1">
      <c r="G44" s="1"/>
      <c r="H44" s="15" t="s">
        <v>212</v>
      </c>
      <c r="I44" s="4">
        <v>45940.0</v>
      </c>
      <c r="J44" s="24">
        <v>3060530.0</v>
      </c>
      <c r="K44" s="24">
        <v>-3000.0</v>
      </c>
    </row>
    <row r="45" ht="16.5" customHeight="1">
      <c r="G45" s="1"/>
      <c r="H45" s="15" t="s">
        <v>213</v>
      </c>
      <c r="I45" s="4">
        <v>45966.0</v>
      </c>
      <c r="J45" s="24">
        <v>3063530.0</v>
      </c>
    </row>
    <row r="46" ht="16.5" customHeight="1">
      <c r="G46" s="1"/>
      <c r="H46" s="1"/>
      <c r="I46" s="4">
        <v>45989.0</v>
      </c>
      <c r="J46" s="24">
        <v>3063530.0</v>
      </c>
      <c r="K46" s="24">
        <v>-3000.0</v>
      </c>
    </row>
    <row r="47" ht="16.5" customHeight="1">
      <c r="G47" s="1"/>
      <c r="H47" s="15" t="s">
        <v>216</v>
      </c>
      <c r="I47" s="4">
        <v>46020.0</v>
      </c>
      <c r="J47" s="24">
        <v>3063530.0</v>
      </c>
      <c r="K47" s="24">
        <v>-3000.0</v>
      </c>
    </row>
    <row r="48" ht="16.5" customHeight="1">
      <c r="G48" s="15" t="s">
        <v>219</v>
      </c>
      <c r="H48" s="15" t="s">
        <v>215</v>
      </c>
      <c r="I48" s="4">
        <v>46052.0</v>
      </c>
      <c r="J48" s="24">
        <v>3063530.0</v>
      </c>
      <c r="K48" s="24">
        <v>-3000.0</v>
      </c>
    </row>
    <row r="49" ht="16.5" customHeight="1">
      <c r="G49" s="1"/>
      <c r="H49" s="15" t="s">
        <v>204</v>
      </c>
      <c r="I49" s="4">
        <v>46079.0</v>
      </c>
      <c r="J49" s="24">
        <v>3063530.0</v>
      </c>
      <c r="K49" s="24">
        <v>-3000.0</v>
      </c>
    </row>
    <row r="50" ht="16.5" customHeight="1">
      <c r="G50" s="1"/>
      <c r="H50" s="15" t="s">
        <v>206</v>
      </c>
      <c r="I50" s="4">
        <v>46164.0</v>
      </c>
      <c r="J50" s="24">
        <v>3060530.0</v>
      </c>
      <c r="K50" s="24">
        <v>-3000.0</v>
      </c>
    </row>
    <row r="51" ht="16.5" customHeight="1">
      <c r="G51" s="1"/>
      <c r="H51" s="15" t="s">
        <v>208</v>
      </c>
      <c r="I51" s="4">
        <v>46203.0</v>
      </c>
      <c r="J51" s="26">
        <v>3060530.0</v>
      </c>
    </row>
    <row r="52" ht="16.5" customHeight="1">
      <c r="G52" s="1"/>
      <c r="H52" s="15" t="s">
        <v>209</v>
      </c>
      <c r="I52" s="4">
        <v>46234.0</v>
      </c>
      <c r="J52" s="26">
        <v>3060530.0</v>
      </c>
      <c r="K52" s="7"/>
    </row>
    <row r="53" ht="16.5" customHeight="1">
      <c r="G53" s="1"/>
      <c r="H53" s="15" t="s">
        <v>210</v>
      </c>
      <c r="I53" s="4">
        <v>46265.0</v>
      </c>
      <c r="J53" s="26">
        <v>3060530.0</v>
      </c>
      <c r="K53" s="7"/>
    </row>
    <row r="54" ht="16.5" customHeight="1">
      <c r="G54" s="1"/>
      <c r="H54" s="15" t="s">
        <v>211</v>
      </c>
      <c r="I54" s="4">
        <v>46295.0</v>
      </c>
      <c r="J54" s="26">
        <v>3060530.0</v>
      </c>
      <c r="K54" s="7"/>
    </row>
    <row r="55" ht="16.5" customHeight="1">
      <c r="G55" s="1" t="s">
        <v>220</v>
      </c>
      <c r="H55" s="1"/>
      <c r="I55" s="4"/>
      <c r="J55" s="26">
        <v>1.7110144E8</v>
      </c>
      <c r="K55" s="7"/>
    </row>
    <row r="56" ht="16.5" customHeight="1">
      <c r="I56" s="4"/>
      <c r="J56" s="26"/>
    </row>
    <row r="57" ht="16.5" customHeight="1">
      <c r="J57" s="7"/>
    </row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rintOptions/>
  <pageMargins bottom="0.75" footer="0.0" header="0.0" left="0.7" right="0.7" top="0.75"/>
  <pageSetup orientation="landscape"/>
  <drawing r:id="rId2"/>
</worksheet>
</file>